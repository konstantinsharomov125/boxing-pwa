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Константин\Desktop\"/>
    </mc:Choice>
  </mc:AlternateContent>
  <xr:revisionPtr revIDLastSave="0" documentId="8_{B853EF11-F405-4F49-BFD4-953D573CABC4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Старт" sheetId="1" r:id="rId1"/>
    <sheet name="Исследования" sheetId="2" r:id="rId2"/>
    <sheet name="Результаты" sheetId="3" r:id="rId3"/>
    <sheet name="Классификаторы" sheetId="4" r:id="rId4"/>
    <sheet name="Словарь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" i="1" l="1"/>
  <c r="E5" i="1"/>
  <c r="D5" i="1"/>
  <c r="C5" i="1"/>
  <c r="B5" i="1"/>
  <c r="A5" i="1"/>
</calcChain>
</file>

<file path=xl/sharedStrings.xml><?xml version="1.0" encoding="utf-8"?>
<sst xmlns="http://schemas.openxmlformats.org/spreadsheetml/2006/main" count="3719" uniqueCount="1166">
  <si>
    <t>РЕЕСТР ИССЛЕДОВАНИЙ ПОКАЗАТЕЛЕЙ БОКСЁРОВ</t>
  </si>
  <si>
    <t>Физиология • биомеханика • психомоторика • соревновательная активность | версия на 16.10.2026</t>
  </si>
  <si>
    <t>Публикаций в реестре</t>
  </si>
  <si>
    <t>Первичных исследований</t>
  </si>
  <si>
    <t>Обзоров/метаанализов</t>
  </si>
  <si>
    <t>Строк результатов</t>
  </si>
  <si>
    <t>Числовых значений</t>
  </si>
  <si>
    <t>Источников со ссылкой</t>
  </si>
  <si>
    <t>Дата обновления</t>
  </si>
  <si>
    <t>Статус охвата</t>
  </si>
  <si>
    <t>16.10.2026</t>
  </si>
  <si>
    <t>Курируемый стартовый корпус</t>
  </si>
  <si>
    <t>Как работать с файлом</t>
  </si>
  <si>
    <t>1. «Исследования» — одна строка на публикацию: библиография, URL исходника, выборка, пол, возраст, квалификация, категории и статус извлечения.</t>
  </si>
  <si>
    <t>2. «Результаты» — длинный формат: одна строка на показатель, группу, условие или численный/качественный исход. Один Study_ID может повторяться много раз.</t>
  </si>
  <si>
    <t>3. Число в поле Value трактуется вместе с полями Statistic_type, SD, Min/Max, Unit и Reported_result. Не все Value означают среднее.</t>
  </si>
  <si>
    <t>4. Пустое числовое поле не равно нулю. Если данные не удалось подтвердить по извлечённой записи, оставлено пусто или отмечено «не указано/не извлечено».</t>
  </si>
  <si>
    <t>5. Обзоры и метаанализы выделены отдельно от первичных исследований. Не суммируйте участников обзора с N первичных работ.</t>
  </si>
  <si>
    <t>6. Это проверяемая первая подборка, а не утверждение об исчерпывающем систематическом поиске. Часть статей извлечена по абстракту; уровень извлечения указан в реестре.</t>
  </si>
  <si>
    <t>Количество публикаций по основной области</t>
  </si>
  <si>
    <t>Схема доказательств и осторожность интерпретации</t>
  </si>
  <si>
    <t>Основная область</t>
  </si>
  <si>
    <t>Публикаций</t>
  </si>
  <si>
    <t>Наиболее численно детализированы физиологические профили, VO₂/ЧСС/лактат и сила/скорость ударов. Психомоторные данные встречаются реже. Часть работ фиксирует разные условия и протоколы: лабораторный удар, удар по манекену, мешок, силовая платформа или бой — это разные измеряемые конструкты.</t>
  </si>
  <si>
    <t>Физиология</t>
  </si>
  <si>
    <t>Биомеханика</t>
  </si>
  <si>
    <t>Психомоторика</t>
  </si>
  <si>
    <t>Технико-тактические показатели</t>
  </si>
  <si>
    <t>Для диссертации/систематического обзора рекомендуемый следующий шаг: повторное извлечение полного текста, подтверждение точных N/возраста/пола и страниц/таблиц, затем оценка риска смещения и дедупликация выборок. Текущая колонка «Extraction» показывает уровень извлечения, а URL позволяет открыть исходник.</t>
  </si>
  <si>
    <t>ID</t>
  </si>
  <si>
    <t>Year</t>
  </si>
  <si>
    <t>Authors</t>
  </si>
  <si>
    <t>Title</t>
  </si>
  <si>
    <t>Journal</t>
  </si>
  <si>
    <t>DOI</t>
  </si>
  <si>
    <t>URL</t>
  </si>
  <si>
    <t>Type</t>
  </si>
  <si>
    <t>Domain</t>
  </si>
  <si>
    <t>Subdomain</t>
  </si>
  <si>
    <t>Design</t>
  </si>
  <si>
    <t>N</t>
  </si>
  <si>
    <t>Sex</t>
  </si>
  <si>
    <t>Age</t>
  </si>
  <si>
    <t>Qualification</t>
  </si>
  <si>
    <t>Weight</t>
  </si>
  <si>
    <t>Methods</t>
  </si>
  <si>
    <t>Outcome</t>
  </si>
  <si>
    <t>Extraction</t>
  </si>
  <si>
    <t>Limit</t>
  </si>
  <si>
    <t>B001</t>
  </si>
  <si>
    <t>Ghosh, Goswami, Ahuja</t>
  </si>
  <si>
    <t>Heart rate &amp; blood lactate response in amateur competitive boxing</t>
  </si>
  <si>
    <t>Indian Journal of Medical Research, 102:179–183</t>
  </si>
  <si>
    <t>https://pubmed.ncbi.nlm.nih.gov/8543363/</t>
  </si>
  <si>
    <t>Первичное исследование</t>
  </si>
  <si>
    <t>ЧСС; лактат; аэробная работоспособность</t>
  </si>
  <si>
    <t>Наблюдение в соревновательных поединках + лабораторная оценка VO₂max</t>
  </si>
  <si>
    <t>26 боксёров; отдельные группы по весу</t>
  </si>
  <si>
    <t>Не уточнён в извлечённом абстракте</t>
  </si>
  <si>
    <t>Senior national-level; точный возраст не указан</t>
  </si>
  <si>
    <t>Национальный уровень, взрослые/senior</t>
  </si>
  <si>
    <t>В т.ч. категория 48–57 кг; тяжёлые и другие категории</t>
  </si>
  <si>
    <t>ЧСС и лактат в разминке/раундах; беговая дорожка для VO₂max</t>
  </si>
  <si>
    <t>Объединённое среднее в поединке: ЧСС 178 уд/мин; лактат 8,24 ммоль/л. У тяжёлой категории относительный VO₂max ниже, чем в двух других (p&lt;0,05). В 48–57 кг лактат во 2-м и 3-м раундах выше 1-го (p&lt;0,05).</t>
  </si>
  <si>
    <t>Данные абстракта PubMed</t>
  </si>
  <si>
    <t>Данные по средним для отдельных весовых групп не извлечены; пол в просмотренном абстракте не указан.</t>
  </si>
  <si>
    <t>B002</t>
  </si>
  <si>
    <t>Guidetti, Musulin, Baldari</t>
  </si>
  <si>
    <t>Physiological factors in middleweight boxing performance</t>
  </si>
  <si>
    <t>Journal of Sports Medicine and Physical Fitness</t>
  </si>
  <si>
    <t>https://pubmed.ncbi.nlm.nih.gov/12094121/</t>
  </si>
  <si>
    <t>VO₂; сила хвата; антропометрия</t>
  </si>
  <si>
    <t>Лабораторные тесты + корреляция с рейтингом</t>
  </si>
  <si>
    <t>8 элитных итальянских боксёров среднего веса</t>
  </si>
  <si>
    <t>Не сообщён в абстракте</t>
  </si>
  <si>
    <t>Элитные любители; высокий рейтинг AIBA</t>
  </si>
  <si>
    <t>Средний вес</t>
  </si>
  <si>
    <t>Антропометрия; динамометрия хвата; максимальный тест на дорожке; лактат/ЧСС</t>
  </si>
  <si>
    <t>VO₂ на индивидуальном анаэробном пороге 46,0±4,2 мл·кг⁻¹·мин⁻¹ (r=0,91 с рейтингом); хват 58,2±6,9 кг (r=0,87); VO₂max 57,5±4,7 мл·кг⁻¹·мин⁻¹ (r=0,81); обхват запястья 17,6±0,6 см (r=0,78).</t>
  </si>
  <si>
    <t>Очень небольшая выборка; результаты относятся к боксёрам среднего веса.</t>
  </si>
  <si>
    <t>B003</t>
  </si>
  <si>
    <t>Walilko, Viano, Bir</t>
  </si>
  <si>
    <t>Biomechanics of the head for Olympic boxer punches to the face</t>
  </si>
  <si>
    <t>British Journal of Sports Medicine, 39:710–719</t>
  </si>
  <si>
    <t>10.1136/bjsm.2004.014126</t>
  </si>
  <si>
    <t>https://pmc.ncbi.nlm.nih.gov/articles/PMC1725037/</t>
  </si>
  <si>
    <t>Сила/скорость удара; кинематика головы; нагрузка</t>
  </si>
  <si>
    <t>Инструментальная регистрация ударов по антропоморфной модели головы</t>
  </si>
  <si>
    <t>7 олимпийских боксёров; 18 прямых ударов</t>
  </si>
  <si>
    <t>Не указан в абстракте</t>
  </si>
  <si>
    <t>Олимпийские боксёры</t>
  </si>
  <si>
    <t>5 весовых категорий</t>
  </si>
  <si>
    <t>Силовая/кинематическая регистрация ударов по инструментированному манекену</t>
  </si>
  <si>
    <t>Сила удара 3427±811 Н; скорость кисти 9,14±2,06 м/с; эффективная масса 2,9±2,0 кг; нагрузка на челюсть 876±288 Н; линейное ускорение головы 58±13 g; угловое ускорение 6343±1789 рад/с²; сдвиговая сила на шее 994±318 Н.</t>
  </si>
  <si>
    <t>Полный текст PMC / видимые данные статьи</t>
  </si>
  <si>
    <t>Малая выборка; удар по манекену, а не в реальном поединке.</t>
  </si>
  <si>
    <t>B004</t>
  </si>
  <si>
    <t>Авторы в записи издателя не извлечены</t>
  </si>
  <si>
    <t>Direct Measurement of Punch Force During Six Professional Boxing Matches</t>
  </si>
  <si>
    <t>Journal of Quantitative Analysis in Sports / издательская запись</t>
  </si>
  <si>
    <t>10.2202/1559-0410.1004</t>
  </si>
  <si>
    <t>https://www.degruyterbrill.com/document/doi/10.2202/1559-0410.1004/html</t>
  </si>
  <si>
    <t>Сила удара в реальном поединке</t>
  </si>
  <si>
    <t>Прямая регистрация силы ударов в профессиональных боях</t>
  </si>
  <si>
    <t>12 боксёров в 6 профессиональных поединках; 5 весовых категорий</t>
  </si>
  <si>
    <t>Не указан</t>
  </si>
  <si>
    <t>Профессионалы</t>
  </si>
  <si>
    <t>5 категорий; диапазон от super middleweight до light middleweight в представленных данных</t>
  </si>
  <si>
    <t>Прямое измерение силы удара в бою</t>
  </si>
  <si>
    <t>Средняя сила по боям варьировала от 866,6 Н (super middleweight) до 1149,2 Н (light middleweight).</t>
  </si>
  <si>
    <t>Издательская запись/абстракт</t>
  </si>
  <si>
    <t>Нельзя напрямую сравнивать с ударами по манекену или лабораторной мишени без учёта протокола.</t>
  </si>
  <si>
    <t>B005</t>
  </si>
  <si>
    <t>Khanna, Manna</t>
  </si>
  <si>
    <t>Study of Physiological Profile of Indian Boxers</t>
  </si>
  <si>
    <t>Journal of Sports Science and Medicine, 5(CSSI):90–98</t>
  </si>
  <si>
    <t>https://pmc.ncbi.nlm.nih.gov/articles/PMC3863926/</t>
  </si>
  <si>
    <t>Антропометрия; соматотип; сила; VO₂max; ЧСС; лактат</t>
  </si>
  <si>
    <t>Два исследования/когорты; юниоры и взрослые + отдельная весовая подвыборка</t>
  </si>
  <si>
    <t>Основная когорта N=60 (юниоры n=30, взрослые n=30); отдельная когорта N=21 юных боксёров</t>
  </si>
  <si>
    <t>Мужчины</t>
  </si>
  <si>
    <t>15–25 лет; юниоры &lt;19 лет, взрослые 20 лет и старше</t>
  </si>
  <si>
    <t>Национальный тренировочный сбор Индии</t>
  </si>
  <si>
    <t>Отдельная когорта N=21 разделена на 48–54, 55–64 и 65–75 кг (n=7 в каждой)</t>
  </si>
  <si>
    <t>Антропометрия, сила спины/хвата, Wingate/мощность, VO₂max, ЧСС восстановления, лактат</t>
  </si>
  <si>
    <t>У взрослых выше LBM, сила, анаэробная мощность и VO₂max. Юниоры vs взрослые: VO₂max 54,6±4,7 vs 61,7±9,0 мл·кг⁻¹·мин⁻¹; мощность 4,9±0,7 vs 6,5±0,5 Вт/кг; ЧССmax 186±7 vs 191±6 уд/мин.</t>
  </si>
  <si>
    <t>Полный текст PMC; таблицы результатов</t>
  </si>
  <si>
    <t>Когорты N=60 и N=21 независимы; не суммировать как одну выборку.</t>
  </si>
  <si>
    <t>B006</t>
  </si>
  <si>
    <t>Smith</t>
  </si>
  <si>
    <t>Physiological Profile of Senior and Junior England International Amateur Boxers</t>
  </si>
  <si>
    <t>Journal of Sports Science and Medicine, 5(CSSI):74–89</t>
  </si>
  <si>
    <t>https://jssm.org/jssm-05-CSSI1-74.xml-Fulltext</t>
  </si>
  <si>
    <t>Физиология; биомеханика</t>
  </si>
  <si>
    <t>VO₂max; лактат; гидратация; гематология; сила удара</t>
  </si>
  <si>
    <t>Профилирование юниоров и взрослых международного уровня</t>
  </si>
  <si>
    <t>Senior и junior England international boxers; N по выборкам не извлечено в текущей выжимке</t>
  </si>
  <si>
    <t>Не извлечён в просмотренной выжимке</t>
  </si>
  <si>
    <t>Junior vs senior; средний возраст не извлечён</t>
  </si>
  <si>
    <t>Международный уровень Англии; senior/junior</t>
  </si>
  <si>
    <t>Не извлечено</t>
  </si>
  <si>
    <t>Физиологические тесты, анализ крови/мочи, регистрация силы ударов</t>
  </si>
  <si>
    <t>VO₂max: senior 63,8±4,8 и junior 49,8±3,29 мл·кг⁻¹·мин⁻¹; лактат после соревнования 13,5±2,0 vs 14,1±2,0 ммоль/л. Примеры силы ударов senior: задний прямой в голову 2643±1273 Н; передний прямой 1722±700 Н.</t>
  </si>
  <si>
    <t>Текст оригинальной публикации</t>
  </si>
  <si>
    <t>N и часть характеристик выборки требуют ручной сверки по разделу Methods/таблицам перед вторичным анализом.</t>
  </si>
  <si>
    <t>B007</t>
  </si>
  <si>
    <t>Ghosh</t>
  </si>
  <si>
    <t>Heart Rate, Oxygen Consumption and Blood Lactate Responses During Specific Training in Amateur Boxing</t>
  </si>
  <si>
    <t>International Journal of Applied Sports Sciences, 22(1):1–12</t>
  </si>
  <si>
    <t>10.24985/ijass.2010.22.1.1</t>
  </si>
  <si>
    <t>https://doi.org/10.24985/ijass.2010.22.1.1</t>
  </si>
  <si>
    <t>VO₂; ЧСС; лактат</t>
  </si>
  <si>
    <t>Специальная тренировка на мешке; 4 раунда по 2 минуты</t>
  </si>
  <si>
    <t>6 элитных индийских боксёров национального уровня</t>
  </si>
  <si>
    <t>Не указан явно в просмотренной выжимке</t>
  </si>
  <si>
    <t>Не указано</t>
  </si>
  <si>
    <t>Элитные национальные боксёры</t>
  </si>
  <si>
    <t>Удары по мешку; газоанализ; измерение ЧСС и лактата</t>
  </si>
  <si>
    <t>Средний пиковый VO₂ в раундах 1–4: 56,1; 57,5; 57,7; 59,3 мл·кг⁻¹·мин⁻¹. Средняя ЧСС 192 уд/мин; средний лактат 13,6 ммоль/л.</t>
  </si>
  <si>
    <t>Аннотация / индекс KCI</t>
  </si>
  <si>
    <t>Малая выборка; перед метаанализом проверить единицы и методику по полному тексту.</t>
  </si>
  <si>
    <t>B008</t>
  </si>
  <si>
    <t>Bianco et al.</t>
  </si>
  <si>
    <t>Comparison of baseline neuropsychological testing in amateur versus professional boxers</t>
  </si>
  <si>
    <t>The Physician and Sportsmedicine, 36(1)</t>
  </si>
  <si>
    <t>10.3810/psm.2008.12.17</t>
  </si>
  <si>
    <t>https://pubmed.ncbi.nlm.nih.gov/20048477/</t>
  </si>
  <si>
    <t>Простая/сложная реакция; нейропсихологические тесты</t>
  </si>
  <si>
    <t>Сравнение аматоров/дебютантов и профессионалов при первичном тестировании</t>
  </si>
  <si>
    <t>60 мужчин: группа amateur/debutant n=33; pro n=27</t>
  </si>
  <si>
    <t>Профессионалы 29,4±4,19; amateur/debutant 24,1±5,13 лет</t>
  </si>
  <si>
    <t>Любители/дебютанты vs профессионалы</t>
  </si>
  <si>
    <t>Нейропсихологическая батарея; simple и complex reaction time</t>
  </si>
  <si>
    <t>Простая реакция в начале: 0,244±0,007 с у amateur/debutant и 0,249±0,007 с у профессионалов; в конце 0,247±0,007 vs 0,251±0,008 с. Комплексная реакция существенно не различалась.</t>
  </si>
  <si>
    <t>Абстракт PubMed; библиографический год 2008, индексирование PubMed позднее</t>
  </si>
  <si>
    <t>Терминология групп в источнике неоднородна; не интерпретировать как чистое сравнение по квалификации без полного текста.</t>
  </si>
  <si>
    <t>B009</t>
  </si>
  <si>
    <t>Arseneau, Mekary, Léger</t>
  </si>
  <si>
    <t>VO₂ requirements of boxing exercises</t>
  </si>
  <si>
    <t>Journal of Strength and Conditioning Research, 25(2):348–359</t>
  </si>
  <si>
    <t>10.1519/JSC.0b013e3181ef64cb</t>
  </si>
  <si>
    <t>https://pubmed.ncbi.nlm.nih.gov/21217532/</t>
  </si>
  <si>
    <t>VO₂; ЧСС; лактат; интенсивность специфических упражнений</t>
  </si>
  <si>
    <t>Сравнение спарринга, работы на лапах и мешке с разной частотой ударов</t>
  </si>
  <si>
    <t>9 опытных боксёров-любителей</t>
  </si>
  <si>
    <t>22,0±3,5 лет</t>
  </si>
  <si>
    <t>Опытные любители</t>
  </si>
  <si>
    <t>Не сообщена категория; масса 71,4±10,9 кг</t>
  </si>
  <si>
    <t>Непрямая калориметрия, ЧСС, лактат; 60/120/180 ударов в минуту на мешке</t>
  </si>
  <si>
    <t>VO₂: спарринг 43,4±5,9; лапы 41,1±5,1; мешок 60/120/180 уд/мин — 24,7±6,1 / 30,4±5,8 / 38,3±6,5 мл·кг⁻¹·мин⁻¹. Лактат в спарринге: 9,4±2,2 ммоль/л в зале vs 6,1±2,3 в лаборатории.</t>
  </si>
  <si>
    <t>Абстракт PubMed</t>
  </si>
  <si>
    <t>Небольшая выборка; протоколы тренировки и среды влияют на физиологический ответ.</t>
  </si>
  <si>
    <t>B010</t>
  </si>
  <si>
    <t>Davis, Benson, Pitty, Connorton, Waldock</t>
  </si>
  <si>
    <t>The Activity Profile of Elite Male Amateur Boxing</t>
  </si>
  <si>
    <t>International Journal of Sports Physiology and Performance</t>
  </si>
  <si>
    <t>10.1123/ijspp.2013-0474</t>
  </si>
  <si>
    <t>https://doi.org/10.1123/ijspp.2013-0474</t>
  </si>
  <si>
    <t>Частота действий; удары; защита; кинематика таза</t>
  </si>
  <si>
    <t>Видеоанализ финалов/полуфиналов Олимпийских соревнований</t>
  </si>
  <si>
    <t>29 боёв, 39 боксёров</t>
  </si>
  <si>
    <t>25,1±3,6 лет</t>
  </si>
  <si>
    <t>Элитные олимпийские любители</t>
  </si>
  <si>
    <t>Несколько весовых категорий</t>
  </si>
  <si>
    <t>Нотационный видеоанализ раундов 3×3 минуты</t>
  </si>
  <si>
    <t>Около 1,4 действий/с; 20 ударов/мин; 2,5 защитных действий/мин; 47 вертикальных движений таза/мин. Победители имели больше точных ударов в 3-м раунде (p=0,041).</t>
  </si>
  <si>
    <t>Абстракт издателя/DOI</t>
  </si>
  <si>
    <t>Единица анализа включает бои/спортсменов; повторяющиеся участники не независимы.</t>
  </si>
  <si>
    <t>B011</t>
  </si>
  <si>
    <t>Chaabène et al.</t>
  </si>
  <si>
    <t>Amateur Boxing: Physical and Physiological Attributes</t>
  </si>
  <si>
    <t>Sports Medicine, 45(3):337–352</t>
  </si>
  <si>
    <t>10.1007/s40279-014-0274-7</t>
  </si>
  <si>
    <t>https://pubmed.ncbi.nlm.nih.gov/25358529/</t>
  </si>
  <si>
    <t>Обзор</t>
  </si>
  <si>
    <t>Физическая подготовленность; кардиореспираторные характеристики</t>
  </si>
  <si>
    <t>Нарративный обзор литературы</t>
  </si>
  <si>
    <t>Обзор исследований; собственная выборка отсутствует</t>
  </si>
  <si>
    <t>Мужчины и женщины в рассмотренных источниках</t>
  </si>
  <si>
    <t>Разные возрастные группы в литературе</t>
  </si>
  <si>
    <t>Любительский бокс; в основном соревновательный уровень</t>
  </si>
  <si>
    <t>Разные категории</t>
  </si>
  <si>
    <t>Систематизация опубликованных исследований физических и физиологических характеристик</t>
  </si>
  <si>
    <t>Обзор подчёркивает важность высокой кардиореспираторной подготовленности и сравнительно низкой жировой массы в выборках высококвалифицированных боксёров; это не самостоятельная выборка спортсменов.</t>
  </si>
  <si>
    <t>Не учитывать как независимый набор участников; для количественных синтезов возвращаться к первоисточникам обзора.</t>
  </si>
  <si>
    <t>B012</t>
  </si>
  <si>
    <t>Kim, Song, Min et al.</t>
  </si>
  <si>
    <t>Body Composition and Specific Physical Fitness Profiles of the Korean National Amateur Boxers</t>
  </si>
  <si>
    <t>Korean Society of Exercise Physiology</t>
  </si>
  <si>
    <t>10.15857/KSEP.2016.25.1.33</t>
  </si>
  <si>
    <t>https://doi.org/10.15857/KSEP.2016.25.1.33</t>
  </si>
  <si>
    <t>Состав тела; сила; мощность; VO₂max; ЧССmax</t>
  </si>
  <si>
    <t>Сравнение трёх групп по весовым категориям</t>
  </si>
  <si>
    <t>43 мужчины: лёгкая n=14; средняя n=15; тяжёлая n=14</t>
  </si>
  <si>
    <t>Не извлечён из абстракта</t>
  </si>
  <si>
    <t>Национальная сборная Республики Корея; любители</t>
  </si>
  <si>
    <t>Лёгкая, средняя, тяжёлая группы</t>
  </si>
  <si>
    <t>Состав тела; bench press/squat; анаэробная мощность; изокинетическая сила; тест на дорожке</t>
  </si>
  <si>
    <t>Жир: 9,68±2,09% / 11,94±3,53% / 17,37±9,73%; VO₂max 65,03±2,95 / 62,04±2,89 / 59,24±2,75 мл·кг⁻¹·мин⁻¹ (лёгкая/средняя/тяжёлая).</t>
  </si>
  <si>
    <t>Издательская страница с таблицами результатов</t>
  </si>
  <si>
    <t>Возраст отсутствует в просмотренной аннотации; единицы для VO₂max/порогов сверять с таблицей статьи.</t>
  </si>
  <si>
    <t>B013</t>
  </si>
  <si>
    <t>Slimani, Chaabène, Davis, Franchini, Cheour, Chamari</t>
  </si>
  <si>
    <t>Performance Aspects and Physiological Responses in Male Amateur Boxing Competitions: A Brief Review</t>
  </si>
  <si>
    <t>Journal of Strength and Conditioning Research, 31(4):1132–1141</t>
  </si>
  <si>
    <t>10.1519/JSC.0000000000001643</t>
  </si>
  <si>
    <t>https://pubmed.ncbi.nlm.nih.gov/28081033/</t>
  </si>
  <si>
    <t>Физиология; технико-тактические показатели</t>
  </si>
  <si>
    <t>Соревновательная нагрузка и физиологический ответ</t>
  </si>
  <si>
    <t>Краткий обзор</t>
  </si>
  <si>
    <t>Обзор литературы; отдельной выборки нет</t>
  </si>
  <si>
    <t>Фокус на мужчинах в любительских соревнованиях</t>
  </si>
  <si>
    <t>Разные группы в первичных работах</t>
  </si>
  <si>
    <t>Любительский соревновательный бокс</t>
  </si>
  <si>
    <t>Синтез исследований соревновательной производительности и физиологических ответов</t>
  </si>
  <si>
    <t>Обзор по характеристикам соревновательной деятельности и реакции организма; использовать для картирования литературы, не как независимые наблюдения.</t>
  </si>
  <si>
    <t>Не является первичным исследованием.</t>
  </si>
  <si>
    <t>B014</t>
  </si>
  <si>
    <t>Kamandulis, Bruzas, Mockus, Stasiulis, Snieckus, Venckunas</t>
  </si>
  <si>
    <t>Sport-specific repeated sprint training improves punching ability and upper-body aerobic power in experienced amateur boxers</t>
  </si>
  <si>
    <t>Journal of Strength and Conditioning Research, 32(5):1214–1221</t>
  </si>
  <si>
    <t>10.1519/JSC.0000000000002056</t>
  </si>
  <si>
    <t>https://pubmed.ncbi.nlm.nih.gov/28800004/</t>
  </si>
  <si>
    <t>Биомеханика; физиология</t>
  </si>
  <si>
    <t>Сила удара; частота ударов; аэробная мощность верхней части тела</t>
  </si>
  <si>
    <t>Контролируемое 4-недельное тренировочное вмешательство</t>
  </si>
  <si>
    <t>18 опытных мужчин-любителей: экспериментальная n=9; контроль n=9</t>
  </si>
  <si>
    <t>Не извлечён в аннотации</t>
  </si>
  <si>
    <t>Специфические повторные спринты на мешке; эргометрия рук; тесты удара</t>
  </si>
  <si>
    <t>Экспериментальная группа улучшила пиковое потребление кислорода и пиковую мощность при работе руками, силу удара и способность поддерживать частоту/силу ударов; точные средние изменения не представлены в доступной аннотации.</t>
  </si>
  <si>
    <t>Для численной выгрузки эффектов нужен полный текст/таблицы; вмешательство длительностью 4 недели.</t>
  </si>
  <si>
    <t>B015</t>
  </si>
  <si>
    <t>Tasiopoulos et al.</t>
  </si>
  <si>
    <t>Isokinetic Characteristics of Amateur Boxer Athletes</t>
  </si>
  <si>
    <t>Frontiers in Physiology, 9:1597</t>
  </si>
  <si>
    <t>10.3389/fphys.2018.01597</t>
  </si>
  <si>
    <t>https://pmc.ncbi.nlm.nih.gov/articles/PMC6246623/</t>
  </si>
  <si>
    <t>Изокинетическая сила ротаторов плеча</t>
  </si>
  <si>
    <t>Сравнение по уровню квалификации и с контрольной группой</t>
  </si>
  <si>
    <t>40 мужчин-боксёров (elite n=22, second division n=11, third division n=7) + 10 небоксёров-контролей</t>
  </si>
  <si>
    <t>Боксёры 25,5±3,5 лет</t>
  </si>
  <si>
    <t>Элитный / вторая / третья дивизии</t>
  </si>
  <si>
    <t>Изокинетическая динамометрия ротаторов плеча при 60, 120, 180°/с</t>
  </si>
  <si>
    <t>У боксёров сила внутренних/наружных ротаторов выше, чем у контролей, на исследованных скоростях; доминирующая конечность сильнее недоминирующей. После нормирования на массу тела различия между дивизионами ослабевают.</t>
  </si>
  <si>
    <t>Аннотация/страница PMC</t>
  </si>
  <si>
    <t>В аннотации нет численных средних по каждому углу/группе.</t>
  </si>
  <si>
    <t>B016</t>
  </si>
  <si>
    <t>Davis et al.</t>
  </si>
  <si>
    <t>The Activity Profile of Elite Male Amateur Boxing After the 2013 Rule Changes</t>
  </si>
  <si>
    <t>Journal of Strength and Conditioning Research, 32(12):3441–3446</t>
  </si>
  <si>
    <t>10.1519/JSC.0000000000001864</t>
  </si>
  <si>
    <t>https://pubmed.ncbi.nlm.nih.gov/30480653/</t>
  </si>
  <si>
    <t>Частота действий; удары; защита</t>
  </si>
  <si>
    <t>Видеоанализ чемпионата мира после изменения правил</t>
  </si>
  <si>
    <t>50 боёв, 60 боксёров</t>
  </si>
  <si>
    <t>23,5±2,8 лет</t>
  </si>
  <si>
    <t>Элитные международные любители</t>
  </si>
  <si>
    <t>Разные весовые категории</t>
  </si>
  <si>
    <t>Нотационный видеоанализ боёв</t>
  </si>
  <si>
    <t>Около 1,55 действия/с; 21 удар/мин; 3,6 защитных действия/мин; 56 вертикальных движений таза/мин. Победители чаще попадали прямыми в 1-м раунде и имели больше точных ударов в 3-м раунде.</t>
  </si>
  <si>
    <t>Единицы анализа «бои» и «боксёры» различаются; часть спортсменов могла участвовать более одного раза.</t>
  </si>
  <si>
    <t>B017</t>
  </si>
  <si>
    <t>Авторский список не извлечён в текущей выжимке</t>
  </si>
  <si>
    <t>Cardio-Respiratory Endurance Responses Following a Simulated 3 × 3 Minutes Amateur Boxing Contest in Elite Level Boxers</t>
  </si>
  <si>
    <t>Открытая статья в PubMed Central</t>
  </si>
  <si>
    <t>https://pmc.ncbi.nlm.nih.gov/articles/PMC6315673/</t>
  </si>
  <si>
    <t>VO₂; ЧСС; моделируемый бой</t>
  </si>
  <si>
    <t>Симулированный полноконтактный/полуконтактный соревновательный протокол 3×3 минуты</t>
  </si>
  <si>
    <t>11 элитных мужчин-боксёров</t>
  </si>
  <si>
    <t>21,4±2,1 лет</t>
  </si>
  <si>
    <t>Элитные боксёры</t>
  </si>
  <si>
    <t>Масса тела 74,9±8,6 кг; весовая категория не указана</t>
  </si>
  <si>
    <t>Газоанализ, мониторинг ЧСС; сравнение с дорожкой</t>
  </si>
  <si>
    <t>VO₂max полученный на дорожке и VO₂ во время боя статистически не различались (p&gt;0,05; d=0,02–0,39); HRmax на дорожке и HRpeak боя различались (p&lt;0,01; d=1,60–3,00).</t>
  </si>
  <si>
    <t>Полный текст PMC / абстракт</t>
  </si>
  <si>
    <t>В данный реестр внесены только подтверждённые результаты абстракта; средние по дополнительным параметрам не извлечены.</t>
  </si>
  <si>
    <t>B018</t>
  </si>
  <si>
    <t>Finlay, Greig, McCarthy, Page</t>
  </si>
  <si>
    <t>Physical Response to Pad- and Bag-Based Boxing-Specific Training Modalities</t>
  </si>
  <si>
    <t>Journal of Strength and Conditioning Research, 34(4):1052–1061</t>
  </si>
  <si>
    <t>10.1519/JSC.0000000000002928</t>
  </si>
  <si>
    <t>https://journals.lww.com/nsca-jscr/fulltext/2020/04000/physical_response_to_pad__and_bag_based.23.aspx</t>
  </si>
  <si>
    <t>ЧСС; VO₂; лактат; RPE; ускорения/нагрузка</t>
  </si>
  <si>
    <t>Повторные измерения, перекрёстное сравнение тренировки на лапах и мешке</t>
  </si>
  <si>
    <t>14 элитных мужчин-любителей</t>
  </si>
  <si>
    <t>22,0±1,87 лет; диапазон 19–24</t>
  </si>
  <si>
    <t>Элитные любители; региональный уровень минимум</t>
  </si>
  <si>
    <t>Масса 78,81±8,71 кг</t>
  </si>
  <si>
    <t>3×3 минуты; HR, газоанализ, лактат, RPE, триаксиальные акселерометры на шее/пояснице</t>
  </si>
  <si>
    <t>Лапы vs мешок: средняя ЧСС 160±9 vs 150±16 уд/мин; средний VO₂ 38,00±0,31 vs 34,40±1,06 мл·кг⁻¹·мин⁻¹; лактат 2,7±0,8 vs 2,3±0,9 ммоль/л. Механические PlayerLoad показатели выше на мешке.</t>
  </si>
  <si>
    <t>Полный текст/аннотация издателя</t>
  </si>
  <si>
    <t>В исходном абстракте VO₂ стандартное отклонение сохранено как напечатано; требует сверки при точном повторном использовании.</t>
  </si>
  <si>
    <t>B019</t>
  </si>
  <si>
    <t>Dinu, Louis</t>
  </si>
  <si>
    <t>Biomechanical Analysis of the Cross, Hook, and Uppercut in Junior vs. Elite Boxers: Implications for Training and Talent Identification</t>
  </si>
  <si>
    <t>Frontiers in Sports and Active Living, 2:598861</t>
  </si>
  <si>
    <t>10.3389/fspor.2020.598861</t>
  </si>
  <si>
    <t>https://pmc.ncbi.nlm.nih.gov/articles/PMC7739747/</t>
  </si>
  <si>
    <t>Сила; скорость удара; реакция опоры</t>
  </si>
  <si>
    <t>Сравнение IMU-измерений у юниоров и элитных боксёров</t>
  </si>
  <si>
    <t>23 мужчины: элитные n=15; юниоры n=8</t>
  </si>
  <si>
    <t>Элитные 21,1±3,0; юниоры 16,1±0,7 лет</t>
  </si>
  <si>
    <t>Элитные vs юниоры</t>
  </si>
  <si>
    <t>Элитные 73,6±17,9 кг; юниоры 61,0±9,3 кг</t>
  </si>
  <si>
    <t>IMU-костюм; измерение силы и скорости ударов cross/hook/uppercut; GRF</t>
  </si>
  <si>
    <t>Сила (элитные vs юниоры): cross 3158±1467 vs 1021±449 Н; hook 2999±1818 vs 544±235 Н; uppercut 3242±1767 vs 700±287 Н. Скорость hook 11,2±2,0 vs 8,9±0,9 м/с; uppercut 10,2±1,8 vs 7,3±1,0 м/с.</t>
  </si>
  <si>
    <t>Большая вариабельность силы; сравнение включает различия возраста, опыта, массы и квалификации.</t>
  </si>
  <si>
    <t>B020</t>
  </si>
  <si>
    <t>Wilson, Ruddock, Ranchordas, Thompson, Rogerson</t>
  </si>
  <si>
    <t>Physical profile of junior and senior amateur boxers</t>
  </si>
  <si>
    <t>Journal of Physical Education and Sport, 20(6):3452–3459</t>
  </si>
  <si>
    <t>10.7752/jpes.2020.06466</t>
  </si>
  <si>
    <t>https://shura.shu.ac.uk/28007/1/Ruddock-PhysicalProfileJunior%28VoR%29.pdf</t>
  </si>
  <si>
    <t>Физиология; моторные качества</t>
  </si>
  <si>
    <t>Состав тела; прыжки; спринт; силовая выносливость; Yo-Yo</t>
  </si>
  <si>
    <t>Сравнительное профилирование юниоров и взрослых</t>
  </si>
  <si>
    <t>31 мужчина: юниоры n=15; взрослые n=16</t>
  </si>
  <si>
    <t>Юниоры 14,9±2,0; взрослые 20,5±4,0 лет</t>
  </si>
  <si>
    <t>Английский национальный, региональный и местный уровни</t>
  </si>
  <si>
    <t>Юниоры 50,9±11,3 кг; взрослые 65,2±10,7 кг</t>
  </si>
  <si>
    <t>SJ, CMJ, 5/10м спринт, отжимания 60с, бросок медбола, Yo-Yo IRT L1, повторные спринты</t>
  </si>
  <si>
    <t>Взрослые vs юниоры: +17 отжиманий за 60 с; +2,2 м бросок правой рукой; +2,0 м левой; +489 м Yo-Yo IRT L1. CMJ +4 см; SJ +3 см; 5 м быстрее на 0,06 с, 10 м на 0,10 с.</t>
  </si>
  <si>
    <t>Полный текст репозитория/статья</t>
  </si>
  <si>
    <t>Категория senior присваивалась с 18 лет; возраст и опыт различаются между группами.</t>
  </si>
  <si>
    <t>B021</t>
  </si>
  <si>
    <t>Menzel, Potthast</t>
  </si>
  <si>
    <t>Validation of a Novel Boxing Monitoring System to Detect and Analyse the Centre of Pressure Movement on the Boxer’s Fist</t>
  </si>
  <si>
    <t>Sensors, 21(24):8394</t>
  </si>
  <si>
    <t>10.3390/s21248394</t>
  </si>
  <si>
    <t>https://pmc.ncbi.nlm.nih.gov/articles/PMC8703349/</t>
  </si>
  <si>
    <t>Валидация сенсора; центр давления</t>
  </si>
  <si>
    <t>Валидация боксерской мониторинговой системы относительно силовой платформы</t>
  </si>
  <si>
    <t>Размер выборки не извлечён из просмотренной аннотации</t>
  </si>
  <si>
    <t>Не извлечён</t>
  </si>
  <si>
    <t>Боксеры/спортсмены; точный уровень не извлечён</t>
  </si>
  <si>
    <t>Сравнение центра давления, рассчитанного новым сенсором, с силовой платформой</t>
  </si>
  <si>
    <t>Корреляция нового мониторингового решения с силовой платформой r≈0,93–0,97; в абстракте указана максимальная корреляция около 0,99.</t>
  </si>
  <si>
    <t>Выборка и протокол требуют извлечения из раздела Methods перед оценкой внешней валидности.</t>
  </si>
  <si>
    <t>B022</t>
  </si>
  <si>
    <t>Dunn, Humberstone, Franchini, Iredale, Blazevich</t>
  </si>
  <si>
    <t>Relationships Between Punch Impact Force and Upper- and Lower-Body Muscular Strength and Power in Highly Trained Amateur Boxers</t>
  </si>
  <si>
    <t>Journal of Strength and Conditioning Research, 36(4):1019–1025</t>
  </si>
  <si>
    <t>10.1519/JSC.0000000000003585</t>
  </si>
  <si>
    <t>https://pubmed.ncbi.nlm.nih.gov/32218063/</t>
  </si>
  <si>
    <t>Ударная сила; прыжковая/изометрическая сила; мощность</t>
  </si>
  <si>
    <t>Корреляционное исследование</t>
  </si>
  <si>
    <t>28 высококвалифицированных мужчин-любителей</t>
  </si>
  <si>
    <t>Высококвалифицированные любители</t>
  </si>
  <si>
    <t>Силомер удара; максимальные тесты силы/мощности верхних и нижних конечностей</t>
  </si>
  <si>
    <t>Пиковая сила удара ассоциировалась с силовыми показателями в CMJ и IMTP (p&lt;0,05), умеренно коррелировала с массой тела; существенной связи ударных метрик с тестами силы/мощности верхней части тела не выявлено.</t>
  </si>
  <si>
    <t>Коэффициенты корреляции не приведены в доступном абстракте.</t>
  </si>
  <si>
    <t>B023</t>
  </si>
  <si>
    <t>Liu et al.</t>
  </si>
  <si>
    <t>Biomechanics of the lead straight punch of different level boxers</t>
  </si>
  <si>
    <t>Frontiers in Physiology, 13:1015154</t>
  </si>
  <si>
    <t>10.3389/fphys.2022.1015154</t>
  </si>
  <si>
    <t>https://pmc.ncbi.nlm.nih.gov/articles/PMC9798280/</t>
  </si>
  <si>
    <t>Кинематика; кинетика; сила/скорость прямого удара</t>
  </si>
  <si>
    <t>Сравнение квалификационных групп с трёхмерным анализом движения</t>
  </si>
  <si>
    <t>16 боксёров; точное число в группах не извлечено</t>
  </si>
  <si>
    <t>Не извлечён в просмотренной аннотации</t>
  </si>
  <si>
    <t>Элитная vs junior группа</t>
  </si>
  <si>
    <t>Elite: 76,00±10,028 кг; junior: 75,47±12,19 кг</t>
  </si>
  <si>
    <t>Vicon 3D motion capture, платформы Kistler, датчики мишени</t>
  </si>
  <si>
    <t>Исследованы скорость пика/контакта, импульс, относительная сила, RFD и последовательность включения сегментов; количественные средние по основным биомеханическим переменным в текущую выгрузку не включены.</t>
  </si>
  <si>
    <t>Абстракт/текст PMC</t>
  </si>
  <si>
    <t>Не использовать качественную запись как численную оценку; извлечь таблицы полного текста отдельно.</t>
  </si>
  <si>
    <t>B024</t>
  </si>
  <si>
    <t>Venckunas, Bruzas, Stasiulis, Snieckus, Mockus, Kamandulis</t>
  </si>
  <si>
    <t>Cardiorespiratory Responses to Specific and Nonspecific Exercise in High-Profile Amateur Boxers</t>
  </si>
  <si>
    <t>Journal of Strength and Conditioning Research, 36(3):717–722</t>
  </si>
  <si>
    <t>https://pubmed.ncbi.nlm.nih.gov/32118701/</t>
  </si>
  <si>
    <t>VO₂; ЧСС; RER; реакции в поединке</t>
  </si>
  <si>
    <t>Сравнение бега, ручного эргометра, ударов по мешку и соревновательного боя</t>
  </si>
  <si>
    <t>11 мужчин-любителей</t>
  </si>
  <si>
    <t>Боксёры высокого уровня</t>
  </si>
  <si>
    <t>Газоанализ/ЧСС в 3 нагрузочных тестах; ЧСС во время боя 3×3 минуты</t>
  </si>
  <si>
    <t>Пиковый VO₂ на дорожке 55,3±5,9 мл·кг⁻¹·мин⁻¹; HRpeak боя 197,7±5,9, бег 196,5±8,7, ручной эргометр 179,8±9,2, мешок 184,1±12,2 уд/мин. RER при ударах по мешку 1,26±0,09.</t>
  </si>
  <si>
    <t>Часть библиографических полей и дата печатной публикации требуют сверки; в базе год выпуска 2022. DOI не внесён, поскольку в текущей проверке надёжно подтверждён только PMID/URL.</t>
  </si>
  <si>
    <t>B025</t>
  </si>
  <si>
    <t>Zhou et al.</t>
  </si>
  <si>
    <t>Lower extremity isokinetic strength characteristics of amateur boxers</t>
  </si>
  <si>
    <t>Frontiers in Physiology, 13:898126</t>
  </si>
  <si>
    <t>10.3389/fphys.2022.898126</t>
  </si>
  <si>
    <t>https://pmc.ncbi.nlm.nih.gov/articles/PMC9399400/</t>
  </si>
  <si>
    <t>Изокинетическая сила колена; соотношение сгибателей/разгибателей</t>
  </si>
  <si>
    <t>Сравнение элитных и неэлитных боксёров</t>
  </si>
  <si>
    <t>18: elite n=9 (5 мужчин, 4 женщины); non-elite n=9 (5 мужчин, 4 женщины)</t>
  </si>
  <si>
    <t>Смешанный; в обеих группах 5 мужчин и 4 женщины</t>
  </si>
  <si>
    <t>Элитные vs неэлитные любители</t>
  </si>
  <si>
    <t>Изокинетическое тестирование колена на 60, 180 и 240°/с; концентрические и эксцентрические режимы</t>
  </si>
  <si>
    <t>Элитная группа показала более высокие пиковые моменты силы hamstrings/quadriceps при концентрических и эксцентрических сокращениях на всех скоростях; отдельные функциональные отношения различались статистически значимо.</t>
  </si>
  <si>
    <t>Аннотация/PMC</t>
  </si>
  <si>
    <t>Средние/SD по конкретным углам не внесены; выборка мала и смешана по полу.</t>
  </si>
  <si>
    <t>B026</t>
  </si>
  <si>
    <t>Zhang, Piras, Chen, Kong, Wang</t>
  </si>
  <si>
    <t>A comparison of perceptual anticipation in combat sports between experts and non-experts: A systematic review and meta-analysis</t>
  </si>
  <si>
    <t>Frontiers in Psychology, 13:961960</t>
  </si>
  <si>
    <t>10.3389/fpsyg.2022.961960</t>
  </si>
  <si>
    <t>https://pmc.ncbi.nlm.nih.gov/articles/PMC9650920/</t>
  </si>
  <si>
    <t>Систематический обзор и метаанализ</t>
  </si>
  <si>
    <t>Психомоторика; восприятие</t>
  </si>
  <si>
    <t>Предвосхищение; точность ответа; время реакции; зрительные фиксации</t>
  </si>
  <si>
    <t>Систематический обзор/метаанализ нескольких видов единоборств</t>
  </si>
  <si>
    <t>Включены публикации по нескольким видам единоборств; боксёры не являются отдельной общей выборкой</t>
  </si>
  <si>
    <t>Смешанные/неунифицированные выборки в исходных исследованиях</t>
  </si>
  <si>
    <t>Разные группы</t>
  </si>
  <si>
    <t>Эксперты vs неэксперты</t>
  </si>
  <si>
    <t>Не применимо</t>
  </si>
  <si>
    <t>Анализ точности и времени реакции по спортивным видеостимулам; метаанализ</t>
  </si>
  <si>
    <t>Суммарно по смешанным единоборствам точность ответа экспертов 83,3% vs 68,5% у неэкспертов; SMD точности 1,24 (95% CI 0,80–1,68), времени реакции −1,00 (95% CI −1,14…−0,86). В поданализе только бокса превосходство точности не подтверждалось.</t>
  </si>
  <si>
    <t>Полный текст PMC / систематический обзор</t>
  </si>
  <si>
    <t>Не объединять смешанный метааналитический эффект с данными только боксёров; результаты зависят от стимулов/протокола.</t>
  </si>
  <si>
    <t>B027</t>
  </si>
  <si>
    <t>Bruzas et al.</t>
  </si>
  <si>
    <t>Metabolic and physiological demands of 3×3-min-round boxing fights in highly trained amateur boxers</t>
  </si>
  <si>
    <t>Journal of Sports Medicine and Physical Fitness, 63(5):623–629</t>
  </si>
  <si>
    <t>10.23736/S0022-4707.22.13661-3</t>
  </si>
  <si>
    <t>https://pubmed.ncbi.nlm.nih.gov/35415997/</t>
  </si>
  <si>
    <t>Энергетический вклад; ЧСС; лактат</t>
  </si>
  <si>
    <t>Измерения в высокоинтенсивных боях 3×3 минуты</t>
  </si>
  <si>
    <t>10 высокотренированных боксёров-любителей</t>
  </si>
  <si>
    <t>Мужчины (согласно записи/контексту исследования)</t>
  </si>
  <si>
    <t>Не извлечён в текущей выжимке</t>
  </si>
  <si>
    <t>Высокотренированные любители</t>
  </si>
  <si>
    <t>ЧСС, кислородный эквивалент/энергетическая оценка, лактат после боя</t>
  </si>
  <si>
    <t>Постсоревновательный лактат &gt;15 ммоль/л (диапазон 12–18); ЧСС &gt;93% HRmax в раундах 1–2 и &gt;97% в финальном раунде; среднее потребление O₂ во время боя 89% VO₂max. Оценённый вклад систем: 73% аэробный, 19% анаэробный алактатный, 8% анаэробный гликолитический.</t>
  </si>
  <si>
    <t>Энергетическая доля зависит от расчётной модели; год online-first 2022, выпуск журнала 2023.</t>
  </si>
  <si>
    <t>B028</t>
  </si>
  <si>
    <t>Finlay, Page, Greig, Bridge</t>
  </si>
  <si>
    <t>Test-retest reliability and sensitivity of senior elite amateur boxers maximal punch force, as quantified by a vertically mounted force plate</t>
  </si>
  <si>
    <t>PLOS ONE, 18(8):e0289791</t>
  </si>
  <si>
    <t>10.1371/journal.pone.0289791</t>
  </si>
  <si>
    <t>https://journals.plos.org/plosone/article?id=10.1371%2Fjournal.pone.0289791</t>
  </si>
  <si>
    <t>Пиковая сила удара; скорость нарастания силы; надёжность</t>
  </si>
  <si>
    <t>Повторное тестирование с вертикально закреплённой силовой платформой</t>
  </si>
  <si>
    <t>10 мужчин — senior elite amateur boxers</t>
  </si>
  <si>
    <t>19,7±1,2 лет</t>
  </si>
  <si>
    <t>Senior elite amateur</t>
  </si>
  <si>
    <t>78,7±9,6 кг</t>
  </si>
  <si>
    <t>Jab/cross/lead hook/rear hook; вертикальная силовая платформа; test-retest</t>
  </si>
  <si>
    <t>Средняя сила (Н) / RFD (Н/с): rear hook 2624±581 / 296448±101823; lead hook 2524±532 / 256813±81735; cross 2425±545 / 193004±62671; jab 1645±537 / 116675±41577. ICC 0,89–0,99.</t>
  </si>
  <si>
    <t>Полный открытый текст PLOS ONE</t>
  </si>
  <si>
    <t>Небольшая выборка; RFD зависит от фильтрации сигнала и протокола.</t>
  </si>
  <si>
    <t>B029</t>
  </si>
  <si>
    <t>Авторы в текущей выжимке не извлечены</t>
  </si>
  <si>
    <t>A comparative analysis of the physical fitness profile of Korean women’s national amateur boxers by weight category</t>
  </si>
  <si>
    <t>https://pmc.ncbi.nlm.nih.gov/articles/PMC11079553/</t>
  </si>
  <si>
    <t>VO₂max; ЧСС; анаэробный порог; челночный бег</t>
  </si>
  <si>
    <t>Сравнение спортсменок национальной сборной по весовой категории</t>
  </si>
  <si>
    <t>34 женщины: средний вес n=13; лёгкий вес n=21</t>
  </si>
  <si>
    <t>Женщины</t>
  </si>
  <si>
    <t>Национальная сборная Кореи, любители</t>
  </si>
  <si>
    <t>Лёгкая vs средняя категории</t>
  </si>
  <si>
    <t>Тесты физической подготовленности, VO₂max, ЧСС на анаэробном пороге, 20-m shuttle run</t>
  </si>
  <si>
    <t>VO₂max: средний вес 47,80±4,01 и лёгкий 53,90±3,15 мл·кг⁻¹·мин⁻¹ (общая выборка 51,57±4,57; p&lt;0,001). HRmax 189,15±4,71 vs 186,67±6,25 уд/мин; 20-m shuttle run 63,54±13,18 vs 77,81±12,39 повторений.</t>
  </si>
  <si>
    <t>Полный текст/таблицы PMC</t>
  </si>
  <si>
    <t>Женская выборка; выводы не переносить автоматически на мужчин.</t>
  </si>
  <si>
    <t>B030</t>
  </si>
  <si>
    <t>Venckunas et al.</t>
  </si>
  <si>
    <t>Anaerobic Performance Profiling in Elite Amateur Boxers</t>
  </si>
  <si>
    <t>Sports, 12(9):231</t>
  </si>
  <si>
    <t>10.3390/sports12090231</t>
  </si>
  <si>
    <t>https://pmc.ncbi.nlm.nih.gov/articles/PMC11435942/</t>
  </si>
  <si>
    <t>Анаэробная мощность; Wingate; удары; ЧСС</t>
  </si>
  <si>
    <t>Сопоставление нескольких тестов анаэробной работоспособности</t>
  </si>
  <si>
    <t>12 мужчин; элитные любители, олимпийские/национальные медалисты</t>
  </si>
  <si>
    <t>21,9±4,1 лет (диапазон 18–30)</t>
  </si>
  <si>
    <t>Элитные любители; олимпийские/национальные медалисты</t>
  </si>
  <si>
    <t>84,2±14,8 кг</t>
  </si>
  <si>
    <t>VO₂max, Wingate ног/рук, серия ударов по мешку, бег в гору</t>
  </si>
  <si>
    <t>Индексы анаэробной работоспособности в разных тестах в основном слабо коррелировали; мощность ударов по мешку за 30 с была связана только с относительной мощностью Wingate на велосипеде; пиковая ЧСС между задачами сильно коррелировала.</t>
  </si>
  <si>
    <t>Абстракт/открытая статья PMC</t>
  </si>
  <si>
    <t>Не считать одно тестовое значение универсальным эквивалентом анаэробной мощности боксёра.</t>
  </si>
  <si>
    <t>B031</t>
  </si>
  <si>
    <t>Tan, Niu, Bao</t>
  </si>
  <si>
    <t>The effects of 4 weeks of sport-specific repeated sprint training on upper-body strength quality, anaerobic capacity and punching ability of elite male boxers</t>
  </si>
  <si>
    <t>Frontiers in Sports and Active Living (2026)</t>
  </si>
  <si>
    <t>10.3389/fspor.2026.1839505</t>
  </si>
  <si>
    <t>https://pmc.ncbi.nlm.nih.gov/articles/PMC13338852/</t>
  </si>
  <si>
    <t>Мощность верхней части тела; анаэробная мощность; скорость/число ударов</t>
  </si>
  <si>
    <t>4-недельное контролируемое тренировочное вмешательство</t>
  </si>
  <si>
    <t>16 элитных мужчин: экспериментальная n=8; контроль n=8</t>
  </si>
  <si>
    <t>Sport-specific repeated sprint training; Wingate; bench press; ударные показатели</t>
  </si>
  <si>
    <t>В экспериментальной группе: Wingate peak power +16,7%; mean power +20,6%; bench-press mean propulsive power +20,4%; peak punch velocity +7,3%; punches/30 s +16,8%; mean punch velocity +14,9%. Некоторые межгрупповые сравнения не достигали p&lt;0,05.</t>
  </si>
  <si>
    <t>Открытая статья PMC / публикация 2026</t>
  </si>
  <si>
    <t>Проверять опубликованную correction/erratum в оригинале перед цитированием; относительные изменения, не абсолютные посттестовые средние.</t>
  </si>
  <si>
    <t>Record_ID</t>
  </si>
  <si>
    <t>Study_ID</t>
  </si>
  <si>
    <t>Indicator</t>
  </si>
  <si>
    <t>Group_or_condition</t>
  </si>
  <si>
    <t>n</t>
  </si>
  <si>
    <t>Age_mean_years</t>
  </si>
  <si>
    <t>Age_SD_years</t>
  </si>
  <si>
    <t>Age_range_years</t>
  </si>
  <si>
    <t>Weight_category</t>
  </si>
  <si>
    <t>Value</t>
  </si>
  <si>
    <t>SD</t>
  </si>
  <si>
    <t>Min</t>
  </si>
  <si>
    <t>Max</t>
  </si>
  <si>
    <t>Unit</t>
  </si>
  <si>
    <t>Statistic_type</t>
  </si>
  <si>
    <t>Comparison_or_p</t>
  </si>
  <si>
    <t>Reported_result</t>
  </si>
  <si>
    <t>Source_URL</t>
  </si>
  <si>
    <t>Extraction_depth</t>
  </si>
  <si>
    <t>Caveat</t>
  </si>
  <si>
    <t>M001</t>
  </si>
  <si>
    <t>Частота сердечных сокращений</t>
  </si>
  <si>
    <t>Во время соревновательного поединка, объединённо</t>
  </si>
  <si>
    <t>уд/мин</t>
  </si>
  <si>
    <t>Среднее</t>
  </si>
  <si>
    <t>Средний уровень ЧСС в поединке при объединении весовых групп.</t>
  </si>
  <si>
    <t>M002</t>
  </si>
  <si>
    <t>Лактат крови</t>
  </si>
  <si>
    <t>ммоль/л</t>
  </si>
  <si>
    <t>Средний уровень лактата в поединке при объединении весовых групп.</t>
  </si>
  <si>
    <t>M003</t>
  </si>
  <si>
    <t>VO₂max относительный</t>
  </si>
  <si>
    <t>Тяжёлая категория vs две другие категории</t>
  </si>
  <si>
    <t>мл·кг⁻¹·мин⁻¹</t>
  </si>
  <si>
    <t>Направление различия</t>
  </si>
  <si>
    <t>p&lt;0,05</t>
  </si>
  <si>
    <t>В тяжёлой категории средний относительный VO₂max был ниже; численные средние по категориям в текущей выжимке отсутствуют.</t>
  </si>
  <si>
    <t>M004</t>
  </si>
  <si>
    <t>Лактат по раундам</t>
  </si>
  <si>
    <t>Категория 48–57 кг, раунды 2–3 vs раунд 1</t>
  </si>
  <si>
    <t>Лактат во 2-м и 3-м раундах был выше, чем в 1-м; точные значения не извлечены.</t>
  </si>
  <si>
    <t>M005</t>
  </si>
  <si>
    <t>VO₂ на индивидуальном анаэробном пороге</t>
  </si>
  <si>
    <t>Вся выборка</t>
  </si>
  <si>
    <t>Mean ± SD</t>
  </si>
  <si>
    <t>Связь с рейтингом r=0,91; p&lt;0,01</t>
  </si>
  <si>
    <t>Высокая положительная связь с рейтингом соревновательных результатов.</t>
  </si>
  <si>
    <t>M006</t>
  </si>
  <si>
    <t>Сила хвата кисти</t>
  </si>
  <si>
    <t>кг</t>
  </si>
  <si>
    <t>Связь с рейтингом r=0,87; p&lt;0,01</t>
  </si>
  <si>
    <t>M007</t>
  </si>
  <si>
    <t>VO₂max</t>
  </si>
  <si>
    <t>Связь с рейтингом r=0,81; p&lt;0,05</t>
  </si>
  <si>
    <t>M008</t>
  </si>
  <si>
    <t>Антропометрия</t>
  </si>
  <si>
    <t>Обхват запястья</t>
  </si>
  <si>
    <t>см</t>
  </si>
  <si>
    <t>Связь с рейтингом r=0,78; p&lt;0,05</t>
  </si>
  <si>
    <t>M009</t>
  </si>
  <si>
    <t>Сила удара</t>
  </si>
  <si>
    <t>Удары олимпийских боксёров по инструментированному манекену</t>
  </si>
  <si>
    <t>Н</t>
  </si>
  <si>
    <t>Объединённая оценка по 18 прямым ударам.</t>
  </si>
  <si>
    <t>N=7 спортсменов; число ударов 18. Измерение на манекене.</t>
  </si>
  <si>
    <t>M010</t>
  </si>
  <si>
    <t>Скорость кисти</t>
  </si>
  <si>
    <t>м/с</t>
  </si>
  <si>
    <t>M011</t>
  </si>
  <si>
    <t>Эффективная масса удара</t>
  </si>
  <si>
    <t>M012</t>
  </si>
  <si>
    <t>Нагрузка на челюсть</t>
  </si>
  <si>
    <t>M013</t>
  </si>
  <si>
    <t>Линейное ускорение головы</t>
  </si>
  <si>
    <t>g</t>
  </si>
  <si>
    <t>M014</t>
  </si>
  <si>
    <t>Угловое ускорение головы</t>
  </si>
  <si>
    <t>рад/с²</t>
  </si>
  <si>
    <t>M015</t>
  </si>
  <si>
    <t>Сдвиговая сила на шее</t>
  </si>
  <si>
    <t>M016</t>
  </si>
  <si>
    <t>Среднее по профессиональным боям; нижняя граница диапазона</t>
  </si>
  <si>
    <t>Среднее в одном из боёв/весовых классов</t>
  </si>
  <si>
    <t>Минимальное из указанных средних: super middleweight.</t>
  </si>
  <si>
    <t>6 боёв, 12 боксёров; это среднее боевого измерения, не среднее каждого спортсмена.</t>
  </si>
  <si>
    <t>M017</t>
  </si>
  <si>
    <t>Среднее по профессиональным боям; верхняя граница диапазона</t>
  </si>
  <si>
    <t>Максимальное из указанных средних: light middleweight.</t>
  </si>
  <si>
    <t>6 боёв, 12 боксёров; конкретный протокол отличается от лабораторных ударов.</t>
  </si>
  <si>
    <t>M018</t>
  </si>
  <si>
    <t>Демография</t>
  </si>
  <si>
    <t>Возраст</t>
  </si>
  <si>
    <t>Юниоры</t>
  </si>
  <si>
    <t>лет</t>
  </si>
  <si>
    <t>Опубликованное среднее ± SD; значимость различий зависит от переменной.</t>
  </si>
  <si>
    <t>Таблицы полного текста PMC</t>
  </si>
  <si>
    <t>Отдельная подвыборка N=21 в этой статье анализировалась отдельно; эта запись — когорта N=60.</t>
  </si>
  <si>
    <t>M019</t>
  </si>
  <si>
    <t>Рост</t>
  </si>
  <si>
    <t>м</t>
  </si>
  <si>
    <t>M020</t>
  </si>
  <si>
    <t>Масса тела</t>
  </si>
  <si>
    <t>M021</t>
  </si>
  <si>
    <t>Жир тела</t>
  </si>
  <si>
    <t>%</t>
  </si>
  <si>
    <t>M022</t>
  </si>
  <si>
    <t>Безжировая масса</t>
  </si>
  <si>
    <t>M023</t>
  </si>
  <si>
    <t>Соматотип: эндоморфия</t>
  </si>
  <si>
    <t>балл</t>
  </si>
  <si>
    <t>M024</t>
  </si>
  <si>
    <t>Соматотип: мезоморфия</t>
  </si>
  <si>
    <t>M025</t>
  </si>
  <si>
    <t>Соматотип: эктоморфия</t>
  </si>
  <si>
    <t>M026</t>
  </si>
  <si>
    <t>Сила спины</t>
  </si>
  <si>
    <t>M027</t>
  </si>
  <si>
    <t>Сила хвата правой кисти</t>
  </si>
  <si>
    <t>M028</t>
  </si>
  <si>
    <t>Сила хвата левой кисти</t>
  </si>
  <si>
    <t>M029</t>
  </si>
  <si>
    <t>Анаэробная мощность</t>
  </si>
  <si>
    <t>Вт/кг</t>
  </si>
  <si>
    <t>M030</t>
  </si>
  <si>
    <t>M031</t>
  </si>
  <si>
    <t>ЧССmax</t>
  </si>
  <si>
    <t>M032</t>
  </si>
  <si>
    <t>ЧСС восстановления 1 мин</t>
  </si>
  <si>
    <t>M033</t>
  </si>
  <si>
    <t>ЧСС восстановления 2 мин</t>
  </si>
  <si>
    <t>M034</t>
  </si>
  <si>
    <t>ЧСС восстановления 3 мин</t>
  </si>
  <si>
    <t>M035</t>
  </si>
  <si>
    <t>Взрослые/senior</t>
  </si>
  <si>
    <t>M036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</si>
  <si>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</si>
  <si>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</si>
  <si>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</si>
  <si>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</si>
  <si>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</si>
  <si>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</si>
  <si>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</si>
  <si>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</si>
  <si>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</si>
  <si>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</si>
  <si>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</si>
  <si>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</si>
  <si>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</si>
  <si>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</si>
  <si>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</si>
  <si>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</si>
  <si>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Senior international</t>
  </si>
  <si>
    <t>Среднее ± SD, senior international boxer.</t>
  </si>
  <si>
    <t>M053</t>
  </si>
  <si>
    <t>Junior international</t>
  </si>
  <si>
    <t>M054</t>
  </si>
  <si>
    <t>Лактат после соревнования</t>
  </si>
  <si>
    <t>M055</t>
  </si>
  <si>
    <t>M056</t>
  </si>
  <si>
    <t>Передний прямой в голову</t>
  </si>
  <si>
    <t>Показатель для senior boxers в таблице исследования.</t>
  </si>
  <si>
    <t>В текущей выжимке N для группы не извлечено; перепроверить точное определение ударов в полном тексте.</t>
  </si>
  <si>
    <t>M057</t>
  </si>
  <si>
    <t>Передний прямой в корпус</t>
  </si>
  <si>
    <t>M058</t>
  </si>
  <si>
    <t>Задний прямой в голову</t>
  </si>
  <si>
    <t>M059</t>
  </si>
  <si>
    <t>Задний прямой в корпус</t>
  </si>
  <si>
    <t>M060</t>
  </si>
  <si>
    <t>Передний боковой в голову</t>
  </si>
  <si>
    <t>M061</t>
  </si>
  <si>
    <t>Передний боковой в корпус</t>
  </si>
  <si>
    <t>M062</t>
  </si>
  <si>
    <t>Задний боковой в голову</t>
  </si>
  <si>
    <t>M063</t>
  </si>
  <si>
    <t>Задний боковой в корпус</t>
  </si>
  <si>
    <t>M064</t>
  </si>
  <si>
    <t>Пиковый VO₂</t>
  </si>
  <si>
    <t>Раунд 1</t>
  </si>
  <si>
    <t>Средний пиковый VO₂ в раунде.</t>
  </si>
  <si>
    <t>M065</t>
  </si>
  <si>
    <t>Раунд 2</t>
  </si>
  <si>
    <t>M066</t>
  </si>
  <si>
    <t>Раунд 3</t>
  </si>
  <si>
    <t>M067</t>
  </si>
  <si>
    <t>Раунд 4</t>
  </si>
  <si>
    <t>M068</t>
  </si>
  <si>
    <t>Специальная тренировка</t>
  </si>
  <si>
    <t>M069</t>
  </si>
  <si>
    <t>M070</t>
  </si>
  <si>
    <t>Простое время реакции</t>
  </si>
  <si>
    <t>Amateur/debutant; начало</t>
  </si>
  <si>
    <t>с</t>
  </si>
  <si>
    <t>Исходное тестирование в описанной точке; сложное время реакции существенно не различалось.</t>
  </si>
  <si>
    <t>Точное толкование групп amateur/debutant сверять с полным текстом.</t>
  </si>
  <si>
    <t>M071</t>
  </si>
  <si>
    <t>Профессионалы; начало</t>
  </si>
  <si>
    <t>M072</t>
  </si>
  <si>
    <t>Amateur/debutant; конец</t>
  </si>
  <si>
    <t>M073</t>
  </si>
  <si>
    <t>Профессионалы; конец</t>
  </si>
  <si>
    <t>M074</t>
  </si>
  <si>
    <t>VO₂</t>
  </si>
  <si>
    <t>Спарринг</t>
  </si>
  <si>
    <t>M075</t>
  </si>
  <si>
    <t>Лапы</t>
  </si>
  <si>
    <t>M076</t>
  </si>
  <si>
    <t>Мешок 60 ударов/мин</t>
  </si>
  <si>
    <t>M077</t>
  </si>
  <si>
    <t>Мешок 120 ударов/мин</t>
  </si>
  <si>
    <t>M078</t>
  </si>
  <si>
    <t>Мешок 180 ударов/мин</t>
  </si>
  <si>
    <t>M079</t>
  </si>
  <si>
    <t>Спарринг в зале</t>
  </si>
  <si>
    <t>M080</t>
  </si>
  <si>
    <t>Спарринг в лаборатории</t>
  </si>
  <si>
    <t>M081</t>
  </si>
  <si>
    <t>ЧСС как % максимальной</t>
  </si>
  <si>
    <t>% HRmax</t>
  </si>
  <si>
    <t>M082</t>
  </si>
  <si>
    <t>M083</t>
  </si>
  <si>
    <t>Мешок 60 уд/мин</t>
  </si>
  <si>
    <t>M084</t>
  </si>
  <si>
    <t>Мешок 120 уд/мин</t>
  </si>
  <si>
    <t>M085</t>
  </si>
  <si>
    <t>Мешок 180 уд/мин</t>
  </si>
  <si>
    <t>M086</t>
  </si>
  <si>
    <t>Частота действий</t>
  </si>
  <si>
    <t>Элитный мужской любительский бокс, 3×3 мин</t>
  </si>
  <si>
    <t>действий/с</t>
  </si>
  <si>
    <t>Приблизительное значение</t>
  </si>
  <si>
    <t>M087</t>
  </si>
  <si>
    <t>Количество ударов</t>
  </si>
  <si>
    <t>Элитный мужской любительский бокс, в минуту</t>
  </si>
  <si>
    <t>ударов/мин</t>
  </si>
  <si>
    <t>M088</t>
  </si>
  <si>
    <t>Защитные движения</t>
  </si>
  <si>
    <t>движений/мин</t>
  </si>
  <si>
    <t>M089</t>
  </si>
  <si>
    <t>Вертикальные движения таза</t>
  </si>
  <si>
    <t>M090</t>
  </si>
  <si>
    <t>Точность ударов</t>
  </si>
  <si>
    <t>Победители vs проигравшие, раунд 3</t>
  </si>
  <si>
    <t>не применимо</t>
  </si>
  <si>
    <t>Статистическое различие</t>
  </si>
  <si>
    <t>p=0,041</t>
  </si>
  <si>
    <t>У победителей было больше точных попаданий в 3-м раунде.</t>
  </si>
  <si>
    <t>M091</t>
  </si>
  <si>
    <t>После изменения правил 2013, элитный мужской бокс</t>
  </si>
  <si>
    <t>M092</t>
  </si>
  <si>
    <t>После изменения правил 2013, в минуту</t>
  </si>
  <si>
    <t>M093</t>
  </si>
  <si>
    <t>M094</t>
  </si>
  <si>
    <t>M095</t>
  </si>
  <si>
    <t>Точные удары</t>
  </si>
  <si>
    <t>p=0,030</t>
  </si>
  <si>
    <t>У победителей больше точных ударов в 3-м раунде.</t>
  </si>
  <si>
    <t>M096</t>
  </si>
  <si>
    <t>Лёгкая</t>
  </si>
  <si>
    <t>Национальная сборная Кореи</t>
  </si>
  <si>
    <t>Среднее ± SD; группировка по весовой категории.</t>
  </si>
  <si>
    <t>Некоторые p-значения относятся к омнибусному сравнению трёх групп.</t>
  </si>
  <si>
    <t>M097</t>
  </si>
  <si>
    <t>BMI</t>
  </si>
  <si>
    <t>кг/м²</t>
  </si>
  <si>
    <t>M098</t>
  </si>
  <si>
    <t>Средняя мощность нижней части тела</t>
  </si>
  <si>
    <t>M099</t>
  </si>
  <si>
    <t>Пиковая мощность нижней части тела</t>
  </si>
  <si>
    <t>M100</t>
  </si>
  <si>
    <t>Средняя мощность верхней части тела</t>
  </si>
  <si>
    <t>M101</t>
  </si>
  <si>
    <t>Пиковая мощность верхней части тела</t>
  </si>
  <si>
    <t>M102</t>
  </si>
  <si>
    <t>Снижение мощности верхней части тела</t>
  </si>
  <si>
    <t>M103</t>
  </si>
  <si>
    <t>M104</t>
  </si>
  <si>
    <t>M105</t>
  </si>
  <si>
    <t>Средняя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</si>
  <si>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</si>
  <si>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</si>
  <si>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</si>
  <si>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</si>
  <si>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</si>
  <si>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</si>
  <si>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</si>
  <si>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</si>
  <si>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</si>
  <si>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Тяжёлая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</si>
  <si>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</si>
  <si>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</si>
  <si>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</si>
  <si>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</si>
  <si>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</si>
  <si>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</si>
  <si>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</si>
  <si>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</si>
  <si>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</si>
  <si>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Сила ротаторов плеча</t>
  </si>
  <si>
    <t>Боксёры vs контроль; 60/120/180°/с</t>
  </si>
  <si>
    <t>Н·м или индекс динамометра</t>
  </si>
  <si>
    <t>Качественный результат</t>
  </si>
  <si>
    <t>Боксёры сильнее контроля во внутренних и наружных ротаторах на исследованных скоростях; доминирующая сторона сильнее.</t>
  </si>
  <si>
    <t>M124</t>
  </si>
  <si>
    <t>Сравнение VO₂max дорожка vs VO₂ во время боя</t>
  </si>
  <si>
    <t>Симулированный бой 3×3 минуты</t>
  </si>
  <si>
    <t>не извлечено</t>
  </si>
  <si>
    <t>Нет значимого различия</t>
  </si>
  <si>
    <t>p&gt;0,05; d=0,02–0,39</t>
  </si>
  <si>
    <t>Значимого различия между значениями кислородного потребления в дорожном тесте и симулированном бою не обнаружено.</t>
  </si>
  <si>
    <t>M125</t>
  </si>
  <si>
    <t>Сравнение HRmax дорожка vs HRpeak бой</t>
  </si>
  <si>
    <t>Значимое различие</t>
  </si>
  <si>
    <t>p&lt;0,01; d=1,60–3,00</t>
  </si>
  <si>
    <t>ЧССmax на дорожке и пиковая ЧСС в бою различались.</t>
  </si>
  <si>
    <t>M126</t>
  </si>
  <si>
    <t>Средняя ЧСС</t>
  </si>
  <si>
    <t>M127</t>
  </si>
  <si>
    <t>Средний VO₂</t>
  </si>
  <si>
    <t>SD VO₂ сохранено в точности как указано в источнике; сверить с оригинальной таблицей при повторном использовании.</t>
  </si>
  <si>
    <t>M128</t>
  </si>
  <si>
    <t>M129</t>
  </si>
  <si>
    <t>Мешок</t>
  </si>
  <si>
    <t>M130</t>
  </si>
  <si>
    <t>M131</t>
  </si>
  <si>
    <t>M132</t>
  </si>
  <si>
    <t>PlayerLoad / механическая нагрузка</t>
  </si>
  <si>
    <t>Мешок vs лапы</t>
  </si>
  <si>
    <t>Триаксиальные показатели PLTotal и PLML были выше в условии работы на мешке.</t>
  </si>
  <si>
    <t>M133</t>
  </si>
  <si>
    <t>Сила удара cross</t>
  </si>
  <si>
    <t>Элитные</t>
  </si>
  <si>
    <t>Масса 73.6±17.9 кг</t>
  </si>
  <si>
    <t>Сравнение элитных и юниоров. Для силы различия по типам ударов были значимыми (p&lt;0,01); скорость различалась у hook и uppercut.</t>
  </si>
  <si>
    <t>Группы различаются возрастом, массой и уровнем мастерства.</t>
  </si>
  <si>
    <t>M134</t>
  </si>
  <si>
    <t>Сила удара hook</t>
  </si>
  <si>
    <t>M135</t>
  </si>
  <si>
    <t>Сила удара uppercut</t>
  </si>
  <si>
    <t>M136</t>
  </si>
  <si>
    <t>Скорость cross</t>
  </si>
  <si>
    <t>M137</t>
  </si>
  <si>
    <t>Скорость hook</t>
  </si>
  <si>
    <t>M138</t>
  </si>
  <si>
    <t>Скорость uppercut</t>
  </si>
  <si>
    <t>M139</t>
  </si>
  <si>
    <t>Масса 61.0±9.3 кг</t>
  </si>
  <si>
    <t>M140</t>
  </si>
  <si>
    <t>M141</t>
  </si>
  <si>
    <t>M142</t>
  </si>
  <si>
    <t>M143</t>
  </si>
  <si>
    <t>M144</t>
  </si>
  <si>
    <t>M145</t>
  </si>
  <si>
    <t>M146</t>
  </si>
  <si>
    <t>M147</t>
  </si>
  <si>
    <t>M148</t>
  </si>
  <si>
    <t>Взрослые</t>
  </si>
  <si>
    <t>M149</t>
  </si>
  <si>
    <t>M150</t>
  </si>
  <si>
    <t>M151</t>
  </si>
  <si>
    <t>Моторные качества</t>
  </si>
  <si>
    <t>Отжимания за 60 секунд</t>
  </si>
  <si>
    <t>Разница adult − junior</t>
  </si>
  <si>
    <t>повторов</t>
  </si>
  <si>
    <t>Разность средних групп</t>
  </si>
  <si>
    <t>Опубликованная разница между взрослыми и юниорами; отрицательное значение времени означает быстрее у взрослых.</t>
  </si>
  <si>
    <t>M152</t>
  </si>
  <si>
    <t>Бросок медбола правой рукой</t>
  </si>
  <si>
    <t>M153</t>
  </si>
  <si>
    <t>Бросок медбола левой рукой</t>
  </si>
  <si>
    <t>M154</t>
  </si>
  <si>
    <t>Yo-Yo IRT L1</t>
  </si>
  <si>
    <t>M155</t>
  </si>
  <si>
    <t>Countermovement jump</t>
  </si>
  <si>
    <t>M156</t>
  </si>
  <si>
    <t>Squat jump</t>
  </si>
  <si>
    <t>M157</t>
  </si>
  <si>
    <t>Время спринта 5 м</t>
  </si>
  <si>
    <t>adult быстрее; difference adult − junior</t>
  </si>
  <si>
    <t>M158</t>
  </si>
  <si>
    <t>Время спринта 10 м</t>
  </si>
  <si>
    <t>M159</t>
  </si>
  <si>
    <t>Корреляция CoP сенсор vs силовая платформа</t>
  </si>
  <si>
    <t>Валидация системы мониторинга</t>
  </si>
  <si>
    <t>r</t>
  </si>
  <si>
    <t>Нижняя граница диапазона</t>
  </si>
  <si>
    <t>Корреляция в диапазоне 0,93–0,97; в абстракте максимальная корреляция около 0,99.</t>
  </si>
  <si>
    <t>M160</t>
  </si>
  <si>
    <t>Верхняя граница диапазона</t>
  </si>
  <si>
    <t>M161</t>
  </si>
  <si>
    <t>Связь силы удара с CMJ и IMTP</t>
  </si>
  <si>
    <t>Статистическая связь</t>
  </si>
  <si>
    <t>Пиковая сила удара ассоциировалась с показателями силы в CMJ и IMTP; корреляции с тестами верхней части тела незначительны.</t>
  </si>
  <si>
    <t>M162</t>
  </si>
  <si>
    <t>Параметры кинематики прямого удара</t>
  </si>
  <si>
    <t>Elite vs junior; количественные таблицы не извлечены</t>
  </si>
  <si>
    <t>Метрики исследованы</t>
  </si>
  <si>
    <t>Изучались скорость, импульс, относительная сила, RFD и timing сегментов; численные значения сюда не добавлены.</t>
  </si>
  <si>
    <t>M163</t>
  </si>
  <si>
    <t>Пиковая ЧСС</t>
  </si>
  <si>
    <t>Бой 3×3 мин</t>
  </si>
  <si>
    <t>Часть библиографических полей и дата печатной публикации требуют сверки; в базе год выпуска 2022.</t>
  </si>
  <si>
    <t>M164</t>
  </si>
  <si>
    <t>Беговая дорожка</t>
  </si>
  <si>
    <t>M165</t>
  </si>
  <si>
    <t>Ручной эргометр</t>
  </si>
  <si>
    <t>M166</t>
  </si>
  <si>
    <t>Удары по мешку</t>
  </si>
  <si>
    <t>M167</t>
  </si>
  <si>
    <t>M168</t>
  </si>
  <si>
    <t>Пиковый RER</t>
  </si>
  <si>
    <t>отношение</t>
  </si>
  <si>
    <t>M169</t>
  </si>
  <si>
    <t>Корреляция HRpeak боя с бегом</t>
  </si>
  <si>
    <t>Корреляция</t>
  </si>
  <si>
    <t>p=0,013</t>
  </si>
  <si>
    <t>M170</t>
  </si>
  <si>
    <t>Корреляция HRpeak боя с ручным эргометром</t>
  </si>
  <si>
    <t>p=0,052</t>
  </si>
  <si>
    <t>M171</t>
  </si>
  <si>
    <t>Корреляция HRpeak боя с ударами по мешку</t>
  </si>
  <si>
    <t>p=0,035</t>
  </si>
  <si>
    <t>M172</t>
  </si>
  <si>
    <t>Пиковый момент силы колена</t>
  </si>
  <si>
    <t>Elite vs non-elite; 60/180/240°/s, concentric/eccentric</t>
  </si>
  <si>
    <t>Н·м</t>
  </si>
  <si>
    <t>Элитная группа выше по пиковому моменту сгибателей/разгибателей при концентрическом и эксцентрическом режимах на всех скоростях.</t>
  </si>
  <si>
    <t>В статье 9 elite (5 мужчин/4 женщины) + 9 non-elite (5 мужчин/4 женщины); средние таблиц не внесены.</t>
  </si>
  <si>
    <t>M173</t>
  </si>
  <si>
    <t>Точность ответа</t>
  </si>
  <si>
    <t>Эксперты — все боевые виды спорта в метаанализе</t>
  </si>
  <si>
    <t>Групповая оценка</t>
  </si>
  <si>
    <t>Общая доля правильных ответов в смешанных видах единоборств; не является оценкой только боксёров.</t>
  </si>
  <si>
    <t>M174</t>
  </si>
  <si>
    <t>Неэксперты — все боевые виды спорта в метаанализе</t>
  </si>
  <si>
    <t>M175</t>
  </si>
  <si>
    <t>Effect size точности ответа</t>
  </si>
  <si>
    <t>Смешанные виды единоборств; эксперты vs неэксперты</t>
  </si>
  <si>
    <t>SMD</t>
  </si>
  <si>
    <t>SMD (95% CI)</t>
  </si>
  <si>
    <t>Суммарный эффект точности; в боксерском поданализе улучшение точности экспертов не подтверждалось.</t>
  </si>
  <si>
    <t>M176</t>
  </si>
  <si>
    <t>Effect size времени реакции</t>
  </si>
  <si>
    <t>Отрицательный SMD отражает более короткое время реакции экспертов по направлению шкалы в статье.</t>
  </si>
  <si>
    <t>Метааналитический результат не специфичен только для бокса.</t>
  </si>
  <si>
    <t>M177</t>
  </si>
  <si>
    <t>Effect size числа зрительных фиксаций</t>
  </si>
  <si>
    <t>M178</t>
  </si>
  <si>
    <t>Effect size длительности фиксации</t>
  </si>
  <si>
    <t>p=0,16; незначимо</t>
  </si>
  <si>
    <t>M179</t>
  </si>
  <si>
    <t>Лактат после боя</t>
  </si>
  <si>
    <t>3×3 минуты</t>
  </si>
  <si>
    <t>Порог/диапазон</t>
  </si>
  <si>
    <t>После боя сообщён диапазон 12–18 ммоль/л и формулировка «&gt;15» для отдельных значений; используйте как диапазон/порог, не как среднее.</t>
  </si>
  <si>
    <t>M180</t>
  </si>
  <si>
    <t>HRmax в раундах 1–2</t>
  </si>
  <si>
    <t>Бой 3×3 минуты</t>
  </si>
  <si>
    <t>Нижний порог</t>
  </si>
  <si>
    <t>ЧСС превышала 93% HRmax в раундах 1–2.</t>
  </si>
  <si>
    <t>M181</t>
  </si>
  <si>
    <t>HRmax в финальном раунде</t>
  </si>
  <si>
    <t>ЧСС превышала 97% HRmax в финальном раунде.</t>
  </si>
  <si>
    <t>M182</t>
  </si>
  <si>
    <t>Среднее потребление O₂ в бою</t>
  </si>
  <si>
    <t>% VO₂max</t>
  </si>
  <si>
    <t>Среднее относительное значение</t>
  </si>
  <si>
    <t>M183</t>
  </si>
  <si>
    <t>Аэробный вклад</t>
  </si>
  <si>
    <t>Расчётный энергетический вклад</t>
  </si>
  <si>
    <t>Доля энергетического обеспечения</t>
  </si>
  <si>
    <t>Расчётная модель энергетического вклада; зависит от принятых методических предположений.</t>
  </si>
  <si>
    <t>M184</t>
  </si>
  <si>
    <t>Анаэробный алактатный вклад</t>
  </si>
  <si>
    <t>M185</t>
  </si>
  <si>
    <t>Анаэробный гликолитический вклад</t>
  </si>
  <si>
    <t>M186</t>
  </si>
  <si>
    <t>Корреляция HRmax с максимальной ЧСС боя</t>
  </si>
  <si>
    <t>Взаимосвязь показателей</t>
  </si>
  <si>
    <t>M187</t>
  </si>
  <si>
    <t>Пиковая сила удара</t>
  </si>
  <si>
    <t>Rear hook</t>
  </si>
  <si>
    <t>M188</t>
  </si>
  <si>
    <t>Скорость нарастания силы (RFD)</t>
  </si>
  <si>
    <t>Н/с</t>
  </si>
  <si>
    <t>M189</t>
  </si>
  <si>
    <t>Lead hook</t>
  </si>
  <si>
    <t>M190</t>
  </si>
  <si>
    <t>M191</t>
  </si>
  <si>
    <t>Cross</t>
  </si>
  <si>
    <t>M192</t>
  </si>
  <si>
    <t>M193</t>
  </si>
  <si>
    <t>Jab</t>
  </si>
  <si>
    <t>M194</t>
  </si>
  <si>
    <t>M195</t>
  </si>
  <si>
    <t>ICC test-retest</t>
  </si>
  <si>
    <t>Все типы ударов/показатели</t>
  </si>
  <si>
    <t>ICC</t>
  </si>
  <si>
    <t>Диапазон</t>
  </si>
  <si>
    <t>Коэффициенты внутриклассовой корреляции для надёжности измерений 0,89–0,99.</t>
  </si>
  <si>
    <t>M196</t>
  </si>
  <si>
    <t>Вся женская выборка</t>
  </si>
  <si>
    <t>M197</t>
  </si>
  <si>
    <t>20-m shuttle run</t>
  </si>
  <si>
    <t>повторений</t>
  </si>
  <si>
    <t>M198</t>
  </si>
  <si>
    <t>p&lt;0,001 для сравнения категорий</t>
  </si>
  <si>
    <t>M199</t>
  </si>
  <si>
    <t>p=0,276 для различия между категориями</t>
  </si>
  <si>
    <t>M200</t>
  </si>
  <si>
    <t>p=0,004 для различия между категориями</t>
  </si>
  <si>
    <t>M201</t>
  </si>
  <si>
    <t>Лёгкий вес</t>
  </si>
  <si>
    <t>M202</t>
  </si>
  <si>
    <t>M203</t>
  </si>
  <si>
    <t>M204</t>
  </si>
  <si>
    <t>ЧСС на анаэробном пороге</t>
  </si>
  <si>
    <t>M205</t>
  </si>
  <si>
    <t>p=0,029</t>
  </si>
  <si>
    <t>M206</t>
  </si>
  <si>
    <t>M207</t>
  </si>
  <si>
    <t>Опыт занятий боксом</t>
  </si>
  <si>
    <t>Опыт тренировок/участия, опубликованное среднее ± SD.</t>
  </si>
  <si>
    <t>M208</t>
  </si>
  <si>
    <t>Возрастной диапазон 18–30 лет.</t>
  </si>
  <si>
    <t>M209</t>
  </si>
  <si>
    <t>M210</t>
  </si>
  <si>
    <t>Анаэробные показатели между тестами</t>
  </si>
  <si>
    <t>Wingate arm/leg, bag punching, uphill treadmill</t>
  </si>
  <si>
    <t>Разные индексы анаэробной производительности в целом слабо коррелировали; результат одного теста не заменял другой.</t>
  </si>
  <si>
    <t>M211</t>
  </si>
  <si>
    <t>Физиология/биомеханика</t>
  </si>
  <si>
    <t>Wingate peak power change</t>
  </si>
  <si>
    <t>Экспериментальная группа после 4 недель</t>
  </si>
  <si>
    <t>% change</t>
  </si>
  <si>
    <t>Относительное изменение</t>
  </si>
  <si>
    <t>Внутригрупповой d=1,10</t>
  </si>
  <si>
    <t>Изменение относительно исходного уровня в экспериментальной группе.</t>
  </si>
  <si>
    <t>Некоторые межгрупповые сравнения не достигали статистической значимости. Проверить correction/erratum.</t>
  </si>
  <si>
    <t>M212</t>
  </si>
  <si>
    <t>Wingate mean power change</t>
  </si>
  <si>
    <t>Внутригрупповой d=1,14</t>
  </si>
  <si>
    <t>M213</t>
  </si>
  <si>
    <t>Bench press mean propulsive power change</t>
  </si>
  <si>
    <t>d=1,15; между группами p=0,059</t>
  </si>
  <si>
    <t>M214</t>
  </si>
  <si>
    <t>Peak punch velocity change</t>
  </si>
  <si>
    <t>Внутригрупповой d=1,13</t>
  </si>
  <si>
    <t>M215</t>
  </si>
  <si>
    <t>Punches in 30 seconds change</t>
  </si>
  <si>
    <t>d=1,15; между группами p=0,074</t>
  </si>
  <si>
    <t>M216</t>
  </si>
  <si>
    <t>Mean punch velocity change</t>
  </si>
  <si>
    <t>Внутригрупповой d=1,35</t>
  </si>
  <si>
    <t>Измерение/ось</t>
  </si>
  <si>
    <t>Категории/значения в базе</t>
  </si>
  <si>
    <t>Как применять</t>
  </si>
  <si>
    <t>Тип источника</t>
  </si>
  <si>
    <t>Первичное исследование; Обзор; Систематический обзор и метаанализ</t>
  </si>
  <si>
    <t>Первичные исследования — отдельные выборки участников. Обзоры синтезируют чужие выборки и не должны суммироваться как новые участники.</t>
  </si>
  <si>
    <t>Физиология; Биомеханика; Психомоторика; Технико-тактические показатели; Антропометрия; Моторные качества</t>
  </si>
  <si>
    <t>Отнесение выполнено по основному предмету работы; в дополнительных разделах исследования могут быть междисциплинарными.</t>
  </si>
  <si>
    <t>Пол</t>
  </si>
  <si>
    <t>Мужчины; Женщины; Смешанный; Не уточнён</t>
  </si>
  <si>
    <t>«Не уточнён» значит, что поле не было надёжно установлено из доступной в этой версии записи; не выводить по косвенным признакам.</t>
  </si>
  <si>
    <t>Точное среднее ± SD; диапазон; Junior/Senior; не указан</t>
  </si>
  <si>
    <t>Возраст следует хранить с привязкой к группе, а не только ко всей статье. Не приравнивать junior к одной универсальной возрастной границе.</t>
  </si>
  <si>
    <t>Квалификация</t>
  </si>
  <si>
    <t>Элитные; международные; национальная сборная; опытные любители; любители; профессионалы; junior/senior; смешанный/не указан</t>
  </si>
  <si>
    <t>Термины отражают формулировки источника. Сравнения допустимы только при совместимых критериях.</t>
  </si>
  <si>
    <t>Весовая категория</t>
  </si>
  <si>
    <t>Точная категория из источника; лёгкая/средняя/тяжёлая группа; не указана</t>
  </si>
  <si>
    <t>Группировки отличаются по годам/организациям. Не делать автоматическое соответствие между разными системами веса.</t>
  </si>
  <si>
    <t>Дизайн</t>
  </si>
  <si>
    <t>Лабораторный тест; соревновательное наблюдение; видео-анализ; инструментальная биомеханика; тест-ретест; вмешательство; обзор</t>
  </si>
  <si>
    <t>При объединении результатов учитывать протокол, условия, оборудование и тип выборки.</t>
  </si>
  <si>
    <t>Глубина извлечения</t>
  </si>
  <si>
    <t>Полный текст/таблицы; полный текст PMC; аннотация PubMed; издательская запись/аннотация; индексированный абстракт</t>
  </si>
  <si>
    <t>Показатели из абстракта менее детальны; статус экстракции указан отдельно в реестре.</t>
  </si>
  <si>
    <t>Надёжность численного результата</t>
  </si>
  <si>
    <t>Среднее ± SD; среднее/точка; приблизительное значение; разность групп; диапазон/порог; корреляция; качественный результат</t>
  </si>
  <si>
    <t>В столбце «Value» хранятся средние, точки, коэффициенты или разности согласно Statistic_type. «Qualitative result» не содержит численного значения.</t>
  </si>
  <si>
    <t>Единицы</t>
  </si>
  <si>
    <t>Н/м/с/кг/мл·кг⁻¹·мин⁻¹/уд·мин⁻¹/ммоль·л⁻¹/Вт·кг⁻¹/процент/с</t>
  </si>
  <si>
    <t>Проверяйте единицы исходника, особенно при сравнении разных тестовых протоколов.</t>
  </si>
  <si>
    <t>Идентификатор исследования</t>
  </si>
  <si>
    <t>B001…B031</t>
  </si>
  <si>
    <t>Одна строка в «Исследования» = одна публикация. В «Результаты» несколько строк могут ссылаться на ту же публикацию/одну и ту же выборку.</t>
  </si>
  <si>
    <t>Идентификатор результата</t>
  </si>
  <si>
    <t>M001…</t>
  </si>
  <si>
    <t>Каждая строка результата — отдельный показатель, условие или группа. Не суммировать n между строками без проверки пересечения участников.</t>
  </si>
  <si>
    <t>Пропуск данных</t>
  </si>
  <si>
    <t>Пусто / «не указано» / «не извлечено»</t>
  </si>
  <si>
    <t>Пустая числовая ячейка не означает ноль. «Не извлечено» не означает, что статья не содержит этой информации.</t>
  </si>
  <si>
    <t>Психомоторика и метаанализы</t>
  </si>
  <si>
    <t>Отдельно помечать mixed combat sports</t>
  </si>
  <si>
    <t>Эффекты смешанных единоборств нельзя автоматически называть специфическими результатами боксёров.</t>
  </si>
  <si>
    <t>Поле/раздел</t>
  </si>
  <si>
    <t>Содержание</t>
  </si>
  <si>
    <t>Практическое замечание</t>
  </si>
  <si>
    <t>Объём версии</t>
  </si>
  <si>
    <t>31 публикация / обзор; 216 строк показателей/исходов</t>
  </si>
  <si>
    <t>Это проверяемый стартовый корпус, а не заявление о полностью исчерпывающем поиске всей мировой литературы.</t>
  </si>
  <si>
    <t>Границы покрытия</t>
  </si>
  <si>
    <t>Физиологические, биомеханические, психомоторные/перцептивные, технико-тактические и отдельные антропометрические результаты боксёров</t>
  </si>
  <si>
    <t>В реестр включены работы, в которых удалось установить конкретную библиографическую запись и исходную ссылку.</t>
  </si>
  <si>
    <t>Исходные ссылки</t>
  </si>
  <si>
    <t>Для каждой публикации есть URL в колонке URL / Source_URL</t>
  </si>
  <si>
    <t>Предпочтительно использованы PubMed, PubMed Central, DOI, журнальная/издательская запись или репозиторий оригинальной статьи.</t>
  </si>
  <si>
    <t>Не подменять первоисточник</t>
  </si>
  <si>
    <t>Где указан PubMed Central или PubMed, это стабильная исходная запись; DOI оставлен пустым, если не был уверенно подтверждён</t>
  </si>
  <si>
    <t>Не следует автоматически считать любой индекс/зеркало полным текстом оригинала.</t>
  </si>
  <si>
    <t>Возраст, пол, квалификация</t>
  </si>
  <si>
    <t>Заполнены только при наличии подтверждения в извлечённой записи/источнике</t>
  </si>
  <si>
    <t>Если значение не указано или пока не извлечено — оно обозначено как неизвестное, а не восстановлено догадкой.</t>
  </si>
  <si>
    <t>Неполная экстракция</t>
  </si>
  <si>
    <t>Некоторые статьи представлены только результатами абстракта, отдельными таблицами или видимой издательской записью</t>
  </si>
  <si>
    <t>Для диссертационного систематического обзора следует пройти full-text extraction для каждой статьи и зарегистрировать точные страницы/таблицы.</t>
  </si>
  <si>
    <t>Статистика</t>
  </si>
  <si>
    <t>Mean±SD сохранено раздельно; коэффициенты и значения p указаны в дополнительных полях; qualitative result — текст без выдуманного числа</t>
  </si>
  <si>
    <t>Не смешивать среднее, порог, диапазон, межгрупповую разность и effect size.</t>
  </si>
  <si>
    <t>Дублирование и независимость</t>
  </si>
  <si>
    <t>Строки результатов связаны с Study_ID</t>
  </si>
  <si>
    <t>Одна статья может давать много показателей и несколько групп; это не независимые выборки. При метаанализе нужно моделировать множественные эффекты.</t>
  </si>
  <si>
    <t>Особое замечание — Khanna &amp; Manna 2006</t>
  </si>
  <si>
    <t>В статье описаны две разные когорты: N=60 и отдельная группа N=21</t>
  </si>
  <si>
    <t>Не складывать их в N=81 для одной и той же метрики.</t>
  </si>
  <si>
    <t>Особое замечание — обзоры</t>
  </si>
  <si>
    <t>B011, B013 и B026 обозначены как обзор/метаанализ</t>
  </si>
  <si>
    <t>Смешанные данные по единоборствам (B026) не интерпретировать как только боксёров; авторы сообщают, что boxing-only поданализ по точности не подтвердил общее превосходство экспертов.</t>
  </si>
  <si>
    <t>Особое замечание — реальные бои vs лаборатория</t>
  </si>
  <si>
    <t>Сила удара по манекену, силовой платформе, сенсору и в реальном бою измеряется по-разному</t>
  </si>
  <si>
    <t>Сравнение абсолютных сил без стандартизации мишени, бинтов/перчаток, расстояния, типа удара, скорости и устройства некорректно.</t>
  </si>
  <si>
    <t>Особое замечание — свежие публикации</t>
  </si>
  <si>
    <t>B031 (2026) — новая работа с тренировочным вмешательством</t>
  </si>
  <si>
    <t>Перед использованием в цитируемом тексте проверить текущую версию издателя и наличие correction/erratum.</t>
  </si>
  <si>
    <t>Рекомендация для следующего этапа</t>
  </si>
  <si>
    <t>Ввести отдельные столбцы: критерии включения, риск систематической ошибки, страницы/таблицы, режим доступа, дата поиска, исключение/причина, ID выборки</t>
  </si>
  <si>
    <t>Это позволит превратить массив в PRISMA-совместимую базу доказательств с воспроизводимой процедурой извлечения.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</si>
</sst>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0"/>
      <color rgb="FFFFFFFF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i/>
      <sz val="11"/>
      <color rgb="FF17365D"/>
      <name val="Carlito"/>
    </font>
    <font>
      <b/>
      <sz val="14"/>
      <color rgb="FF17365D"/>
      <name val="Carlito"/>
    </font>
    <font>
      <b/>
      <sz val="12"/>
      <color rgb="FFFFFFFF"/>
      <name val="Carlito"/>
    </font>
    <font>
      <b/>
      <sz val="11"/>
      <color rgb="FF17365D"/>
      <name val="Carlito"/>
    </font>
    <font>
      <sz val="1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0F766E"/>
      </patternFill>
    </fill>
    <fill>
      <patternFill patternType="solid">
        <fgColor rgb="FFD9EAF7"/>
      </patternFill>
    </fill>
    <fill>
      <patternFill patternType="solid">
        <fgColor rgb="FFF3F6FA"/>
      </patternFill>
    </fill>
    <fill>
      <patternFill patternType="solid">
        <fgColor rgb="FFDDEFEA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21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0" fillId="0" borderId="0" xfId="1" applyFont="1" applyAlignment="1">
      <alignment vertical="top" wrapText="1"/>
    </xf>
    <xf numFmtId="0" fontId="1" fillId="3" borderId="0" xfId="1" applyFont="1" applyFill="1" applyAlignment="1">
      <alignment horizontal="center" vertical="top" wrapText="1"/>
    </xf>
    <xf numFmtId="2" fontId="0" fillId="0" borderId="0" xfId="1" applyNumberFormat="1" applyFont="1" applyAlignment="1">
      <alignment vertical="top" wrapText="1"/>
    </xf>
    <xf numFmtId="1" fontId="0" fillId="0" borderId="0" xfId="1" applyNumberFormat="1" applyFont="1" applyAlignment="1">
      <alignment vertical="top" wrapText="1"/>
    </xf>
    <xf numFmtId="0" fontId="2" fillId="4" borderId="0" xfId="1" applyFont="1" applyFill="1" applyAlignment="1">
      <alignment vertical="center" wrapText="1"/>
    </xf>
    <xf numFmtId="0" fontId="2" fillId="3" borderId="0" xfId="1" applyFont="1" applyFill="1" applyAlignment="1">
      <alignment horizontal="center" vertical="center" wrapText="1"/>
    </xf>
    <xf numFmtId="0" fontId="5" fillId="6" borderId="0" xfId="1" applyFont="1" applyFill="1" applyAlignment="1">
      <alignment horizontal="center" vertical="center" wrapText="1"/>
    </xf>
    <xf numFmtId="0" fontId="7" fillId="5" borderId="0" xfId="1" applyFont="1" applyFill="1" applyAlignment="1">
      <alignment horizontal="center" wrapText="1"/>
    </xf>
    <xf numFmtId="0" fontId="0" fillId="0" borderId="0" xfId="1" applyFont="1" applyAlignment="1">
      <alignment horizontal="center" wrapText="1"/>
    </xf>
    <xf numFmtId="0" fontId="2" fillId="3" borderId="0" xfId="1" applyFont="1" applyFill="1" applyAlignment="1">
      <alignment vertical="center" wrapText="1"/>
    </xf>
    <xf numFmtId="49" fontId="5" fillId="6" borderId="0" xfId="1" applyNumberFormat="1" applyFont="1" applyFill="1" applyAlignment="1">
      <alignment horizontal="center" vertical="center" wrapText="1"/>
    </xf>
    <xf numFmtId="0" fontId="3" fillId="2" borderId="0" xfId="1" applyFont="1" applyFill="1" applyAlignment="1">
      <alignment horizontal="center" vertical="center"/>
    </xf>
    <xf numFmtId="0" fontId="4" fillId="5" borderId="0" xfId="1" applyFont="1" applyFill="1" applyAlignment="1">
      <alignment horizontal="center" vertical="center"/>
    </xf>
    <xf numFmtId="0" fontId="6" fillId="4" borderId="0" xfId="1" applyFont="1" applyFill="1" applyAlignment="1">
      <alignment vertical="center"/>
    </xf>
    <xf numFmtId="0" fontId="0" fillId="6" borderId="0" xfId="1" applyFont="1" applyFill="1" applyAlignment="1">
      <alignment vertical="center" wrapText="1"/>
    </xf>
    <xf numFmtId="0" fontId="2" fillId="3" borderId="0" xfId="1" applyFont="1" applyFill="1" applyAlignment="1">
      <alignment vertical="center" wrapText="1"/>
    </xf>
    <xf numFmtId="0" fontId="0" fillId="7" borderId="0" xfId="1" applyFont="1" applyFill="1" applyAlignment="1">
      <alignment vertical="center" wrapText="1"/>
    </xf>
    <xf numFmtId="0" fontId="0" fillId="8" borderId="0" xfId="1" applyFont="1" applyFill="1" applyAlignment="1">
      <alignment vertical="center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StudyRegistry" displayName="StudyRegistry" ref="A1:T32" totalsRowShown="0">
  <tableColumns count="20">
    <tableColumn id="1" xr3:uid="{00000000-0010-0000-0000-000001000000}" name="ID"/>
    <tableColumn id="2" xr3:uid="{00000000-0010-0000-0000-000002000000}" name="Year"/>
    <tableColumn id="3" xr3:uid="{00000000-0010-0000-0000-000003000000}" name="Authors"/>
    <tableColumn id="4" xr3:uid="{00000000-0010-0000-0000-000004000000}" name="Title"/>
    <tableColumn id="5" xr3:uid="{00000000-0010-0000-0000-000005000000}" name="Journal"/>
    <tableColumn id="6" xr3:uid="{00000000-0010-0000-0000-000006000000}" name="DOI"/>
    <tableColumn id="7" xr3:uid="{00000000-0010-0000-0000-000007000000}" name="URL"/>
    <tableColumn id="8" xr3:uid="{00000000-0010-0000-0000-000008000000}" name="Type"/>
    <tableColumn id="9" xr3:uid="{00000000-0010-0000-0000-000009000000}" name="Domain"/>
    <tableColumn id="10" xr3:uid="{00000000-0010-0000-0000-00000A000000}" name="Subdomain"/>
    <tableColumn id="11" xr3:uid="{00000000-0010-0000-0000-00000B000000}" name="Design"/>
    <tableColumn id="12" xr3:uid="{00000000-0010-0000-0000-00000C000000}" name="N"/>
    <tableColumn id="13" xr3:uid="{00000000-0010-0000-0000-00000D000000}" name="Sex"/>
    <tableColumn id="14" xr3:uid="{00000000-0010-0000-0000-00000E000000}" name="Age"/>
    <tableColumn id="15" xr3:uid="{00000000-0010-0000-0000-00000F000000}" name="Qualification"/>
    <tableColumn id="16" xr3:uid="{00000000-0010-0000-0000-000010000000}" name="Weight"/>
    <tableColumn id="17" xr3:uid="{00000000-0010-0000-0000-000011000000}" name="Methods"/>
    <tableColumn id="18" xr3:uid="{00000000-0010-0000-0000-000012000000}" name="Outcome"/>
    <tableColumn id="19" xr3:uid="{00000000-0010-0000-0000-000013000000}" name="Extraction"/>
    <tableColumn id="20" xr3:uid="{00000000-0010-0000-0000-000014000000}" name="Lim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MeasurementData" displayName="MeasurementData" ref="A1:X217" totalsRowShown="0">
  <tableColumns count="24">
    <tableColumn id="1" xr3:uid="{00000000-0010-0000-0100-000001000000}" name="Record_ID"/>
    <tableColumn id="2" xr3:uid="{00000000-0010-0000-0100-000002000000}" name="Study_ID"/>
    <tableColumn id="3" xr3:uid="{00000000-0010-0000-0100-000003000000}" name="Year"/>
    <tableColumn id="4" xr3:uid="{00000000-0010-0000-0100-000004000000}" name="Domain"/>
    <tableColumn id="5" xr3:uid="{00000000-0010-0000-0100-000005000000}" name="Indicator"/>
    <tableColumn id="6" xr3:uid="{00000000-0010-0000-0100-000006000000}" name="Group_or_condition"/>
    <tableColumn id="7" xr3:uid="{00000000-0010-0000-0100-000007000000}" name="n"/>
    <tableColumn id="8" xr3:uid="{00000000-0010-0000-0100-000008000000}" name="Sex"/>
    <tableColumn id="9" xr3:uid="{00000000-0010-0000-0100-000009000000}" name="Age_mean_years"/>
    <tableColumn id="10" xr3:uid="{00000000-0010-0000-0100-00000A000000}" name="Age_SD_years"/>
    <tableColumn id="11" xr3:uid="{00000000-0010-0000-0100-00000B000000}" name="Age_range_years"/>
    <tableColumn id="12" xr3:uid="{00000000-0010-0000-0100-00000C000000}" name="Qualification"/>
    <tableColumn id="13" xr3:uid="{00000000-0010-0000-0100-00000D000000}" name="Weight_category"/>
    <tableColumn id="14" xr3:uid="{00000000-0010-0000-0100-00000E000000}" name="Value"/>
    <tableColumn id="15" xr3:uid="{00000000-0010-0000-0100-00000F000000}" name="SD"/>
    <tableColumn id="16" xr3:uid="{00000000-0010-0000-0100-000010000000}" name="Min"/>
    <tableColumn id="17" xr3:uid="{00000000-0010-0000-0100-000011000000}" name="Max"/>
    <tableColumn id="18" xr3:uid="{00000000-0010-0000-0100-000012000000}" name="Unit"/>
    <tableColumn id="19" xr3:uid="{00000000-0010-0000-0100-000013000000}" name="Statistic_type"/>
    <tableColumn id="20" xr3:uid="{00000000-0010-0000-0100-000014000000}" name="Comparison_or_p"/>
    <tableColumn id="21" xr3:uid="{00000000-0010-0000-0100-000015000000}" name="Reported_result"/>
    <tableColumn id="22" xr3:uid="{00000000-0010-0000-0100-000016000000}" name="Source_URL"/>
    <tableColumn id="23" xr3:uid="{00000000-0010-0000-0100-000017000000}" name="Extraction_depth"/>
    <tableColumn id="24" xr3:uid="{00000000-0010-0000-0100-000018000000}" name="Cavea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lassificationGuide" displayName="ClassificationGuide" ref="A1:C15" totalsRowShown="0">
  <tableColumns count="3">
    <tableColumn id="1" xr3:uid="{00000000-0010-0000-0200-000001000000}" name="Измерение/ось"/>
    <tableColumn id="2" xr3:uid="{00000000-0010-0000-0200-000002000000}" name="Категории/значения в базе"/>
    <tableColumn id="3" xr3:uid="{00000000-0010-0000-0200-000003000000}" name="Как применять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ictionaryTable" displayName="DictionaryTable" ref="A1:C14" totalsRowShown="0">
  <tableColumns count="3">
    <tableColumn id="1" xr3:uid="{00000000-0010-0000-0300-000001000000}" name="Поле/раздел"/>
    <tableColumn id="2" xr3:uid="{00000000-0010-0000-0300-000002000000}" name="Содержание"/>
    <tableColumn id="3" xr3:uid="{00000000-0010-0000-0300-000003000000}" name="Практическое замечани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zoomScale="61" workbookViewId="0">
      <pane ySplit="2" topLeftCell="A3" activePane="bottomLeft" state="frozen"/>
      <selection pane="bottomLeft" sqref="A1:H1"/>
    </sheetView>
  </sheetViews>
  <sheetFormatPr defaultRowHeight="13.8"/>
  <cols>
    <col min="1" max="1" width="37" customWidth="1"/>
    <col min="2" max="3" width="24" customWidth="1"/>
    <col min="4" max="4" width="21" customWidth="1"/>
    <col min="5" max="6" width="22" customWidth="1"/>
    <col min="7" max="7" width="18" customWidth="1"/>
    <col min="8" max="8" width="29" customWidth="1"/>
  </cols>
  <sheetData>
    <row r="1" spans="1:8" ht="36" customHeight="1">
      <c r="A1" s="14" t="s">
        <v>0</v>
      </c>
      <c r="B1" s="14"/>
      <c r="C1" s="14"/>
      <c r="D1" s="14"/>
      <c r="E1" s="14"/>
      <c r="F1" s="14"/>
      <c r="G1" s="14"/>
      <c r="H1" s="14"/>
    </row>
    <row r="2" spans="1:8" ht="25.05" customHeight="1">
      <c r="A2" s="15" t="s">
        <v>1</v>
      </c>
      <c r="B2" s="15"/>
      <c r="C2" s="15"/>
      <c r="D2" s="15"/>
      <c r="E2" s="15"/>
      <c r="F2" s="15"/>
      <c r="G2" s="15"/>
      <c r="H2" s="15"/>
    </row>
    <row r="4" spans="1:8" ht="34.049999999999997" customHeight="1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</row>
    <row r="5" spans="1:8" ht="34.049999999999997" customHeight="1">
      <c r="A5" s="9">
        <f>COUNTA(Исследования!A2:A32)</f>
        <v>31</v>
      </c>
      <c r="B5" s="9">
        <f>COUNTIF(Исследования!H2:H32,"Первичное исследование")</f>
        <v>28</v>
      </c>
      <c r="C5" s="9">
        <f>COUNTIF(Исследования!H2:H32,"Обзор")+COUNTIF(Исследования!H2:H32,"Систематический обзор и метаанализ")</f>
        <v>3</v>
      </c>
      <c r="D5" s="9">
        <f>COUNTA(Результаты!A2:A217)</f>
        <v>216</v>
      </c>
      <c r="E5" s="9">
        <f>COUNT(Результаты!N2:N217)</f>
        <v>204</v>
      </c>
      <c r="F5" s="9">
        <f>COUNTA(Исследования!G2:G32)</f>
        <v>31</v>
      </c>
      <c r="G5" s="13" t="s">
        <v>10</v>
      </c>
      <c r="H5" s="9" t="s">
        <v>11</v>
      </c>
    </row>
    <row r="7" spans="1:8" ht="24" customHeight="1">
      <c r="A7" s="16" t="s">
        <v>12</v>
      </c>
      <c r="B7" s="16"/>
      <c r="C7" s="16"/>
      <c r="D7" s="16"/>
      <c r="E7" s="16"/>
      <c r="F7" s="16"/>
      <c r="G7" s="16"/>
      <c r="H7" s="16"/>
    </row>
    <row r="8" spans="1:8" ht="40.049999999999997" customHeight="1">
      <c r="A8" s="17" t="s">
        <v>13</v>
      </c>
      <c r="B8" s="17"/>
      <c r="C8" s="17"/>
      <c r="D8" s="17"/>
      <c r="E8" s="17"/>
      <c r="F8" s="17"/>
      <c r="G8" s="17"/>
      <c r="H8" s="17"/>
    </row>
    <row r="9" spans="1:8" ht="40.049999999999997" customHeight="1">
      <c r="A9" s="17" t="s">
        <v>14</v>
      </c>
      <c r="B9" s="17"/>
      <c r="C9" s="17"/>
      <c r="D9" s="17"/>
      <c r="E9" s="17"/>
      <c r="F9" s="17"/>
      <c r="G9" s="17"/>
      <c r="H9" s="17"/>
    </row>
    <row r="10" spans="1:8" ht="40.049999999999997" customHeight="1">
      <c r="A10" s="17" t="s">
        <v>15</v>
      </c>
      <c r="B10" s="17"/>
      <c r="C10" s="17"/>
      <c r="D10" s="17"/>
      <c r="E10" s="17"/>
      <c r="F10" s="17"/>
      <c r="G10" s="17"/>
      <c r="H10" s="17"/>
    </row>
    <row r="11" spans="1:8" ht="40.049999999999997" customHeight="1">
      <c r="A11" s="17" t="s">
        <v>16</v>
      </c>
      <c r="B11" s="17"/>
      <c r="C11" s="17"/>
      <c r="D11" s="17"/>
      <c r="E11" s="17"/>
      <c r="F11" s="17"/>
      <c r="G11" s="17"/>
      <c r="H11" s="17"/>
    </row>
    <row r="12" spans="1:8" ht="40.049999999999997" customHeight="1">
      <c r="A12" s="17" t="s">
        <v>17</v>
      </c>
      <c r="B12" s="17"/>
      <c r="C12" s="17"/>
      <c r="D12" s="17"/>
      <c r="E12" s="17"/>
      <c r="F12" s="17"/>
      <c r="G12" s="17"/>
      <c r="H12" s="17"/>
    </row>
    <row r="13" spans="1:8" ht="40.049999999999997" customHeight="1">
      <c r="A13" s="17" t="s">
        <v>18</v>
      </c>
      <c r="B13" s="17"/>
      <c r="C13" s="17"/>
      <c r="D13" s="17"/>
      <c r="E13" s="17"/>
      <c r="F13" s="17"/>
      <c r="G13" s="17"/>
      <c r="H13" s="17"/>
    </row>
    <row r="15" spans="1:8">
      <c r="A15" s="18" t="s">
        <v>19</v>
      </c>
      <c r="B15" s="18"/>
      <c r="C15" s="18"/>
      <c r="D15" s="18" t="s">
        <v>20</v>
      </c>
      <c r="E15" s="12"/>
      <c r="F15" s="12"/>
      <c r="G15" s="12"/>
      <c r="H15" s="12"/>
    </row>
    <row r="16" spans="1:8">
      <c r="A16" s="10" t="s">
        <v>21</v>
      </c>
      <c r="B16" s="10" t="s">
        <v>22</v>
      </c>
      <c r="C16" s="2"/>
      <c r="D16" s="19" t="s">
        <v>23</v>
      </c>
      <c r="E16" s="19"/>
      <c r="F16" s="19"/>
      <c r="G16" s="19"/>
      <c r="H16" s="19"/>
    </row>
    <row r="17" spans="1:8">
      <c r="A17" s="2" t="s">
        <v>24</v>
      </c>
      <c r="B17" s="11">
        <v>17</v>
      </c>
      <c r="C17" s="2"/>
      <c r="D17" s="19"/>
      <c r="E17" s="19"/>
      <c r="F17" s="19"/>
      <c r="G17" s="19"/>
      <c r="H17" s="19"/>
    </row>
    <row r="18" spans="1:8">
      <c r="A18" s="2" t="s">
        <v>25</v>
      </c>
      <c r="B18" s="11">
        <v>10</v>
      </c>
      <c r="C18" s="2"/>
      <c r="D18" s="19"/>
      <c r="E18" s="19"/>
      <c r="F18" s="19"/>
      <c r="G18" s="19"/>
      <c r="H18" s="19"/>
    </row>
    <row r="19" spans="1:8">
      <c r="A19" s="2" t="s">
        <v>26</v>
      </c>
      <c r="B19" s="11">
        <v>2</v>
      </c>
      <c r="C19" s="2"/>
      <c r="D19" s="19"/>
      <c r="E19" s="19"/>
      <c r="F19" s="19"/>
      <c r="G19" s="19"/>
      <c r="H19" s="19"/>
    </row>
    <row r="20" spans="1:8">
      <c r="A20" s="2" t="s">
        <v>27</v>
      </c>
      <c r="B20" s="11">
        <v>2</v>
      </c>
      <c r="C20" s="2"/>
      <c r="D20" s="2"/>
      <c r="E20" s="2"/>
      <c r="F20" s="2"/>
      <c r="G20" s="2"/>
      <c r="H20" s="2"/>
    </row>
    <row r="21" spans="1:8">
      <c r="A21" s="2"/>
      <c r="B21" s="2"/>
      <c r="C21" s="2"/>
      <c r="D21" s="20" t="s">
        <v>28</v>
      </c>
      <c r="E21" s="20"/>
      <c r="F21" s="20"/>
      <c r="G21" s="20"/>
      <c r="H21" s="20"/>
    </row>
    <row r="22" spans="1:8">
      <c r="A22" s="2"/>
      <c r="B22" s="2"/>
      <c r="C22" s="2"/>
      <c r="D22" s="20"/>
      <c r="E22" s="20"/>
      <c r="F22" s="20"/>
      <c r="G22" s="20"/>
      <c r="H22" s="20"/>
    </row>
    <row r="23" spans="1:8">
      <c r="A23" s="2"/>
      <c r="B23" s="2"/>
      <c r="C23" s="2"/>
      <c r="D23" s="20"/>
      <c r="E23" s="20"/>
      <c r="F23" s="20"/>
      <c r="G23" s="20"/>
      <c r="H23" s="20"/>
    </row>
    <row r="24" spans="1:8">
      <c r="A24" s="2"/>
      <c r="B24" s="2"/>
      <c r="C24" s="2"/>
      <c r="D24" s="20"/>
      <c r="E24" s="20"/>
      <c r="F24" s="20"/>
      <c r="G24" s="20"/>
      <c r="H24" s="20"/>
    </row>
  </sheetData>
  <mergeCells count="12">
    <mergeCell ref="D16:H19"/>
    <mergeCell ref="D21:H24"/>
    <mergeCell ref="A10:H10"/>
    <mergeCell ref="A11:H11"/>
    <mergeCell ref="A12:H12"/>
    <mergeCell ref="A13:H13"/>
    <mergeCell ref="A15:D15"/>
    <mergeCell ref="A1:H1"/>
    <mergeCell ref="A2:H2"/>
    <mergeCell ref="A7:H7"/>
    <mergeCell ref="A8:H8"/>
    <mergeCell ref="A9:H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2"/>
  <sheetViews>
    <sheetView tabSelected="1" topLeftCell="F1" zoomScale="54" workbookViewId="0">
      <pane ySplit="1" topLeftCell="A26" activePane="bottomLeft" state="frozen"/>
      <selection pane="bottomLeft"/>
    </sheetView>
  </sheetViews>
  <sheetFormatPr defaultRowHeight="13.8"/>
  <cols>
    <col min="1" max="1" width="9" customWidth="1"/>
    <col min="2" max="2" width="8" customWidth="1"/>
    <col min="3" max="3" width="25" customWidth="1"/>
    <col min="4" max="4" width="48" customWidth="1"/>
    <col min="5" max="5" width="28" customWidth="1"/>
    <col min="6" max="6" width="25" customWidth="1"/>
    <col min="7" max="7" width="45" customWidth="1"/>
    <col min="8" max="10" width="22" customWidth="1"/>
    <col min="11" max="11" width="35" customWidth="1"/>
    <col min="12" max="12" width="33" customWidth="1"/>
    <col min="13" max="13" width="22" customWidth="1"/>
    <col min="14" max="14" width="27" customWidth="1"/>
    <col min="15" max="15" width="32" customWidth="1"/>
    <col min="16" max="16" width="38" customWidth="1"/>
    <col min="17" max="17" width="72" customWidth="1"/>
    <col min="18" max="18" width="58" customWidth="1"/>
    <col min="19" max="19" width="38" customWidth="1"/>
    <col min="20" max="20" width="62" customWidth="1"/>
  </cols>
  <sheetData>
    <row r="1" spans="1:20" ht="37.950000000000003" customHeight="1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</row>
    <row r="2" spans="1:20" ht="82.05" customHeight="1">
      <c r="A2" s="3" t="s">
        <v>49</v>
      </c>
      <c r="B2" s="3">
        <v>1995</v>
      </c>
      <c r="C2" s="3" t="s">
        <v>50</v>
      </c>
      <c r="D2" s="3" t="s">
        <v>51</v>
      </c>
      <c r="E2" s="3" t="s">
        <v>52</v>
      </c>
      <c r="F2" s="3"/>
      <c r="G2" s="3" t="s">
        <v>53</v>
      </c>
      <c r="H2" s="3" t="s">
        <v>54</v>
      </c>
      <c r="I2" s="3" t="s">
        <v>24</v>
      </c>
      <c r="J2" s="3" t="s">
        <v>55</v>
      </c>
      <c r="K2" s="3" t="s">
        <v>56</v>
      </c>
      <c r="L2" s="3" t="s">
        <v>57</v>
      </c>
      <c r="M2" s="3" t="s">
        <v>58</v>
      </c>
      <c r="N2" s="3" t="s">
        <v>59</v>
      </c>
      <c r="O2" s="3" t="s">
        <v>60</v>
      </c>
      <c r="P2" s="3" t="s">
        <v>61</v>
      </c>
      <c r="Q2" s="3" t="s">
        <v>62</v>
      </c>
      <c r="R2" s="3" t="s">
        <v>63</v>
      </c>
      <c r="S2" s="3" t="s">
        <v>64</v>
      </c>
      <c r="T2" s="3" t="s">
        <v>65</v>
      </c>
    </row>
    <row r="3" spans="1:20" ht="82.05" customHeight="1">
      <c r="A3" s="3" t="s">
        <v>66</v>
      </c>
      <c r="B3" s="3">
        <v>2002</v>
      </c>
      <c r="C3" s="3" t="s">
        <v>67</v>
      </c>
      <c r="D3" s="3" t="s">
        <v>68</v>
      </c>
      <c r="E3" s="3" t="s">
        <v>69</v>
      </c>
      <c r="F3" s="3"/>
      <c r="G3" s="3" t="s">
        <v>70</v>
      </c>
      <c r="H3" s="3" t="s">
        <v>54</v>
      </c>
      <c r="I3" s="3" t="s">
        <v>24</v>
      </c>
      <c r="J3" s="3" t="s">
        <v>71</v>
      </c>
      <c r="K3" s="3" t="s">
        <v>72</v>
      </c>
      <c r="L3" s="3" t="s">
        <v>73</v>
      </c>
      <c r="M3" s="3" t="s">
        <v>58</v>
      </c>
      <c r="N3" s="3" t="s">
        <v>74</v>
      </c>
      <c r="O3" s="3" t="s">
        <v>75</v>
      </c>
      <c r="P3" s="3" t="s">
        <v>76</v>
      </c>
      <c r="Q3" s="3" t="s">
        <v>77</v>
      </c>
      <c r="R3" s="3" t="s">
        <v>78</v>
      </c>
      <c r="S3" s="3" t="s">
        <v>64</v>
      </c>
      <c r="T3" s="3" t="s">
        <v>79</v>
      </c>
    </row>
    <row r="4" spans="1:20" ht="82.05" customHeight="1">
      <c r="A4" s="3" t="s">
        <v>80</v>
      </c>
      <c r="B4" s="3">
        <v>2005</v>
      </c>
      <c r="C4" s="3" t="s">
        <v>81</v>
      </c>
      <c r="D4" s="3" t="s">
        <v>82</v>
      </c>
      <c r="E4" s="3" t="s">
        <v>83</v>
      </c>
      <c r="F4" s="3" t="s">
        <v>84</v>
      </c>
      <c r="G4" s="3" t="s">
        <v>85</v>
      </c>
      <c r="H4" s="3" t="s">
        <v>54</v>
      </c>
      <c r="I4" s="3" t="s">
        <v>25</v>
      </c>
      <c r="J4" s="3" t="s">
        <v>86</v>
      </c>
      <c r="K4" s="3" t="s">
        <v>87</v>
      </c>
      <c r="L4" s="3" t="s">
        <v>88</v>
      </c>
      <c r="M4" s="3" t="s">
        <v>58</v>
      </c>
      <c r="N4" s="3" t="s">
        <v>89</v>
      </c>
      <c r="O4" s="3" t="s">
        <v>90</v>
      </c>
      <c r="P4" s="3" t="s">
        <v>91</v>
      </c>
      <c r="Q4" s="3" t="s">
        <v>92</v>
      </c>
      <c r="R4" s="3" t="s">
        <v>93</v>
      </c>
      <c r="S4" s="3" t="s">
        <v>94</v>
      </c>
      <c r="T4" s="3" t="s">
        <v>95</v>
      </c>
    </row>
    <row r="5" spans="1:20" ht="82.05" customHeight="1">
      <c r="A5" s="3" t="s">
        <v>96</v>
      </c>
      <c r="B5" s="3">
        <v>2006</v>
      </c>
      <c r="C5" s="3" t="s">
        <v>97</v>
      </c>
      <c r="D5" s="3" t="s">
        <v>98</v>
      </c>
      <c r="E5" s="3" t="s">
        <v>99</v>
      </c>
      <c r="F5" s="3" t="s">
        <v>100</v>
      </c>
      <c r="G5" s="3" t="s">
        <v>101</v>
      </c>
      <c r="H5" s="3" t="s">
        <v>54</v>
      </c>
      <c r="I5" s="3" t="s">
        <v>25</v>
      </c>
      <c r="J5" s="3" t="s">
        <v>102</v>
      </c>
      <c r="K5" s="3" t="s">
        <v>103</v>
      </c>
      <c r="L5" s="3" t="s">
        <v>104</v>
      </c>
      <c r="M5" s="3" t="s">
        <v>58</v>
      </c>
      <c r="N5" s="3" t="s">
        <v>105</v>
      </c>
      <c r="O5" s="3" t="s">
        <v>106</v>
      </c>
      <c r="P5" s="3" t="s">
        <v>107</v>
      </c>
      <c r="Q5" s="3" t="s">
        <v>108</v>
      </c>
      <c r="R5" s="3" t="s">
        <v>109</v>
      </c>
      <c r="S5" s="3" t="s">
        <v>110</v>
      </c>
      <c r="T5" s="3" t="s">
        <v>111</v>
      </c>
    </row>
    <row r="6" spans="1:20" ht="82.05" customHeight="1">
      <c r="A6" s="3" t="s">
        <v>112</v>
      </c>
      <c r="B6" s="3">
        <v>2006</v>
      </c>
      <c r="C6" s="3" t="s">
        <v>113</v>
      </c>
      <c r="D6" s="3" t="s">
        <v>114</v>
      </c>
      <c r="E6" s="3" t="s">
        <v>115</v>
      </c>
      <c r="F6" s="3"/>
      <c r="G6" s="3" t="s">
        <v>116</v>
      </c>
      <c r="H6" s="3" t="s">
        <v>54</v>
      </c>
      <c r="I6" s="3" t="s">
        <v>24</v>
      </c>
      <c r="J6" s="3" t="s">
        <v>117</v>
      </c>
      <c r="K6" s="3" t="s">
        <v>118</v>
      </c>
      <c r="L6" s="3" t="s">
        <v>119</v>
      </c>
      <c r="M6" s="3" t="s">
        <v>120</v>
      </c>
      <c r="N6" s="3" t="s">
        <v>121</v>
      </c>
      <c r="O6" s="3" t="s">
        <v>122</v>
      </c>
      <c r="P6" s="3" t="s">
        <v>123</v>
      </c>
      <c r="Q6" s="3" t="s">
        <v>124</v>
      </c>
      <c r="R6" s="3" t="s">
        <v>125</v>
      </c>
      <c r="S6" s="3" t="s">
        <v>126</v>
      </c>
      <c r="T6" s="3" t="s">
        <v>127</v>
      </c>
    </row>
    <row r="7" spans="1:20" ht="82.05" customHeight="1">
      <c r="A7" s="3" t="s">
        <v>128</v>
      </c>
      <c r="B7" s="3">
        <v>2006</v>
      </c>
      <c r="C7" s="3" t="s">
        <v>129</v>
      </c>
      <c r="D7" s="3" t="s">
        <v>130</v>
      </c>
      <c r="E7" s="3" t="s">
        <v>131</v>
      </c>
      <c r="F7" s="3"/>
      <c r="G7" s="3" t="s">
        <v>132</v>
      </c>
      <c r="H7" s="3" t="s">
        <v>54</v>
      </c>
      <c r="I7" s="3" t="s">
        <v>133</v>
      </c>
      <c r="J7" s="3" t="s">
        <v>134</v>
      </c>
      <c r="K7" s="3" t="s">
        <v>135</v>
      </c>
      <c r="L7" s="3" t="s">
        <v>136</v>
      </c>
      <c r="M7" s="3" t="s">
        <v>137</v>
      </c>
      <c r="N7" s="3" t="s">
        <v>138</v>
      </c>
      <c r="O7" s="3" t="s">
        <v>139</v>
      </c>
      <c r="P7" s="3" t="s">
        <v>140</v>
      </c>
      <c r="Q7" s="3" t="s">
        <v>141</v>
      </c>
      <c r="R7" s="3" t="s">
        <v>142</v>
      </c>
      <c r="S7" s="3" t="s">
        <v>143</v>
      </c>
      <c r="T7" s="3" t="s">
        <v>144</v>
      </c>
    </row>
    <row r="8" spans="1:20" ht="82.05" customHeight="1">
      <c r="A8" s="3" t="s">
        <v>145</v>
      </c>
      <c r="B8" s="3">
        <v>2010</v>
      </c>
      <c r="C8" s="3" t="s">
        <v>146</v>
      </c>
      <c r="D8" s="3" t="s">
        <v>147</v>
      </c>
      <c r="E8" s="3" t="s">
        <v>148</v>
      </c>
      <c r="F8" s="3" t="s">
        <v>149</v>
      </c>
      <c r="G8" s="3" t="s">
        <v>150</v>
      </c>
      <c r="H8" s="3" t="s">
        <v>54</v>
      </c>
      <c r="I8" s="3" t="s">
        <v>24</v>
      </c>
      <c r="J8" s="3" t="s">
        <v>151</v>
      </c>
      <c r="K8" s="3" t="s">
        <v>152</v>
      </c>
      <c r="L8" s="3" t="s">
        <v>153</v>
      </c>
      <c r="M8" s="3" t="s">
        <v>154</v>
      </c>
      <c r="N8" s="3" t="s">
        <v>155</v>
      </c>
      <c r="O8" s="3" t="s">
        <v>156</v>
      </c>
      <c r="P8" s="3" t="s">
        <v>155</v>
      </c>
      <c r="Q8" s="3" t="s">
        <v>157</v>
      </c>
      <c r="R8" s="3" t="s">
        <v>158</v>
      </c>
      <c r="S8" s="3" t="s">
        <v>159</v>
      </c>
      <c r="T8" s="3" t="s">
        <v>160</v>
      </c>
    </row>
    <row r="9" spans="1:20" ht="82.05" customHeight="1">
      <c r="A9" s="3" t="s">
        <v>161</v>
      </c>
      <c r="B9" s="3">
        <v>2008</v>
      </c>
      <c r="C9" s="3" t="s">
        <v>162</v>
      </c>
      <c r="D9" s="3" t="s">
        <v>163</v>
      </c>
      <c r="E9" s="3" t="s">
        <v>164</v>
      </c>
      <c r="F9" s="3" t="s">
        <v>165</v>
      </c>
      <c r="G9" s="3" t="s">
        <v>166</v>
      </c>
      <c r="H9" s="3" t="s">
        <v>54</v>
      </c>
      <c r="I9" s="3" t="s">
        <v>26</v>
      </c>
      <c r="J9" s="3" t="s">
        <v>167</v>
      </c>
      <c r="K9" s="3" t="s">
        <v>168</v>
      </c>
      <c r="L9" s="3" t="s">
        <v>169</v>
      </c>
      <c r="M9" s="3" t="s">
        <v>120</v>
      </c>
      <c r="N9" s="3" t="s">
        <v>170</v>
      </c>
      <c r="O9" s="3" t="s">
        <v>171</v>
      </c>
      <c r="P9" s="3" t="s">
        <v>155</v>
      </c>
      <c r="Q9" s="3" t="s">
        <v>172</v>
      </c>
      <c r="R9" s="3" t="s">
        <v>173</v>
      </c>
      <c r="S9" s="3" t="s">
        <v>174</v>
      </c>
      <c r="T9" s="3" t="s">
        <v>175</v>
      </c>
    </row>
    <row r="10" spans="1:20" ht="82.05" customHeight="1">
      <c r="A10" s="3" t="s">
        <v>176</v>
      </c>
      <c r="B10" s="3">
        <v>2011</v>
      </c>
      <c r="C10" s="3" t="s">
        <v>177</v>
      </c>
      <c r="D10" s="3" t="s">
        <v>178</v>
      </c>
      <c r="E10" s="3" t="s">
        <v>179</v>
      </c>
      <c r="F10" s="3" t="s">
        <v>180</v>
      </c>
      <c r="G10" s="3" t="s">
        <v>181</v>
      </c>
      <c r="H10" s="3" t="s">
        <v>54</v>
      </c>
      <c r="I10" s="3" t="s">
        <v>24</v>
      </c>
      <c r="J10" s="3" t="s">
        <v>182</v>
      </c>
      <c r="K10" s="3" t="s">
        <v>183</v>
      </c>
      <c r="L10" s="3" t="s">
        <v>184</v>
      </c>
      <c r="M10" s="3" t="s">
        <v>120</v>
      </c>
      <c r="N10" s="3" t="s">
        <v>185</v>
      </c>
      <c r="O10" s="3" t="s">
        <v>186</v>
      </c>
      <c r="P10" s="3" t="s">
        <v>187</v>
      </c>
      <c r="Q10" s="3" t="s">
        <v>188</v>
      </c>
      <c r="R10" s="3" t="s">
        <v>189</v>
      </c>
      <c r="S10" s="3" t="s">
        <v>190</v>
      </c>
      <c r="T10" s="3" t="s">
        <v>191</v>
      </c>
    </row>
    <row r="11" spans="1:20" ht="82.05" customHeight="1">
      <c r="A11" s="3" t="s">
        <v>192</v>
      </c>
      <c r="B11" s="3">
        <v>2014</v>
      </c>
      <c r="C11" s="3" t="s">
        <v>193</v>
      </c>
      <c r="D11" s="3" t="s">
        <v>194</v>
      </c>
      <c r="E11" s="3" t="s">
        <v>195</v>
      </c>
      <c r="F11" s="3" t="s">
        <v>196</v>
      </c>
      <c r="G11" s="3" t="s">
        <v>197</v>
      </c>
      <c r="H11" s="3" t="s">
        <v>54</v>
      </c>
      <c r="I11" s="3" t="s">
        <v>27</v>
      </c>
      <c r="J11" s="3" t="s">
        <v>198</v>
      </c>
      <c r="K11" s="3" t="s">
        <v>199</v>
      </c>
      <c r="L11" s="3" t="s">
        <v>200</v>
      </c>
      <c r="M11" s="3" t="s">
        <v>120</v>
      </c>
      <c r="N11" s="3" t="s">
        <v>201</v>
      </c>
      <c r="O11" s="3" t="s">
        <v>202</v>
      </c>
      <c r="P11" s="3" t="s">
        <v>203</v>
      </c>
      <c r="Q11" s="3" t="s">
        <v>204</v>
      </c>
      <c r="R11" s="3" t="s">
        <v>205</v>
      </c>
      <c r="S11" s="3" t="s">
        <v>206</v>
      </c>
      <c r="T11" s="3" t="s">
        <v>207</v>
      </c>
    </row>
    <row r="12" spans="1:20" ht="82.05" customHeight="1">
      <c r="A12" s="3" t="s">
        <v>208</v>
      </c>
      <c r="B12" s="3">
        <v>2015</v>
      </c>
      <c r="C12" s="3" t="s">
        <v>209</v>
      </c>
      <c r="D12" s="3" t="s">
        <v>210</v>
      </c>
      <c r="E12" s="3" t="s">
        <v>211</v>
      </c>
      <c r="F12" s="3" t="s">
        <v>212</v>
      </c>
      <c r="G12" s="3" t="s">
        <v>213</v>
      </c>
      <c r="H12" s="3" t="s">
        <v>214</v>
      </c>
      <c r="I12" s="3" t="s">
        <v>24</v>
      </c>
      <c r="J12" s="3" t="s">
        <v>215</v>
      </c>
      <c r="K12" s="3" t="s">
        <v>216</v>
      </c>
      <c r="L12" s="3" t="s">
        <v>217</v>
      </c>
      <c r="M12" s="3" t="s">
        <v>218</v>
      </c>
      <c r="N12" s="3" t="s">
        <v>219</v>
      </c>
      <c r="O12" s="3" t="s">
        <v>220</v>
      </c>
      <c r="P12" s="3" t="s">
        <v>221</v>
      </c>
      <c r="Q12" s="3" t="s">
        <v>222</v>
      </c>
      <c r="R12" s="3" t="s">
        <v>223</v>
      </c>
      <c r="S12" s="3" t="s">
        <v>190</v>
      </c>
      <c r="T12" s="3" t="s">
        <v>224</v>
      </c>
    </row>
    <row r="13" spans="1:20" ht="82.05" customHeight="1">
      <c r="A13" s="3" t="s">
        <v>225</v>
      </c>
      <c r="B13" s="3">
        <v>2016</v>
      </c>
      <c r="C13" s="3" t="s">
        <v>226</v>
      </c>
      <c r="D13" s="3" t="s">
        <v>227</v>
      </c>
      <c r="E13" s="3" t="s">
        <v>228</v>
      </c>
      <c r="F13" s="3" t="s">
        <v>229</v>
      </c>
      <c r="G13" s="3" t="s">
        <v>230</v>
      </c>
      <c r="H13" s="3" t="s">
        <v>54</v>
      </c>
      <c r="I13" s="3" t="s">
        <v>24</v>
      </c>
      <c r="J13" s="3" t="s">
        <v>231</v>
      </c>
      <c r="K13" s="3" t="s">
        <v>232</v>
      </c>
      <c r="L13" s="3" t="s">
        <v>233</v>
      </c>
      <c r="M13" s="3" t="s">
        <v>120</v>
      </c>
      <c r="N13" s="3" t="s">
        <v>234</v>
      </c>
      <c r="O13" s="3" t="s">
        <v>235</v>
      </c>
      <c r="P13" s="3" t="s">
        <v>236</v>
      </c>
      <c r="Q13" s="3" t="s">
        <v>237</v>
      </c>
      <c r="R13" s="3" t="s">
        <v>238</v>
      </c>
      <c r="S13" s="3" t="s">
        <v>239</v>
      </c>
      <c r="T13" s="3" t="s">
        <v>240</v>
      </c>
    </row>
    <row r="14" spans="1:20" ht="82.05" customHeight="1">
      <c r="A14" s="3" t="s">
        <v>241</v>
      </c>
      <c r="B14" s="3">
        <v>2017</v>
      </c>
      <c r="C14" s="3" t="s">
        <v>242</v>
      </c>
      <c r="D14" s="3" t="s">
        <v>243</v>
      </c>
      <c r="E14" s="3" t="s">
        <v>244</v>
      </c>
      <c r="F14" s="3" t="s">
        <v>245</v>
      </c>
      <c r="G14" s="3" t="s">
        <v>246</v>
      </c>
      <c r="H14" s="3" t="s">
        <v>214</v>
      </c>
      <c r="I14" s="3" t="s">
        <v>247</v>
      </c>
      <c r="J14" s="3" t="s">
        <v>248</v>
      </c>
      <c r="K14" s="3" t="s">
        <v>249</v>
      </c>
      <c r="L14" s="3" t="s">
        <v>250</v>
      </c>
      <c r="M14" s="3" t="s">
        <v>251</v>
      </c>
      <c r="N14" s="3" t="s">
        <v>252</v>
      </c>
      <c r="O14" s="3" t="s">
        <v>253</v>
      </c>
      <c r="P14" s="3" t="s">
        <v>221</v>
      </c>
      <c r="Q14" s="3" t="s">
        <v>254</v>
      </c>
      <c r="R14" s="3" t="s">
        <v>255</v>
      </c>
      <c r="S14" s="3" t="s">
        <v>190</v>
      </c>
      <c r="T14" s="3" t="s">
        <v>256</v>
      </c>
    </row>
    <row r="15" spans="1:20" ht="82.05" customHeight="1">
      <c r="A15" s="3" t="s">
        <v>257</v>
      </c>
      <c r="B15" s="3">
        <v>2018</v>
      </c>
      <c r="C15" s="3" t="s">
        <v>258</v>
      </c>
      <c r="D15" s="3" t="s">
        <v>259</v>
      </c>
      <c r="E15" s="3" t="s">
        <v>260</v>
      </c>
      <c r="F15" s="3" t="s">
        <v>261</v>
      </c>
      <c r="G15" s="3" t="s">
        <v>262</v>
      </c>
      <c r="H15" s="3" t="s">
        <v>54</v>
      </c>
      <c r="I15" s="3" t="s">
        <v>263</v>
      </c>
      <c r="J15" s="3" t="s">
        <v>264</v>
      </c>
      <c r="K15" s="3" t="s">
        <v>265</v>
      </c>
      <c r="L15" s="3" t="s">
        <v>266</v>
      </c>
      <c r="M15" s="3" t="s">
        <v>120</v>
      </c>
      <c r="N15" s="3" t="s">
        <v>267</v>
      </c>
      <c r="O15" s="3" t="s">
        <v>186</v>
      </c>
      <c r="P15" s="3" t="s">
        <v>155</v>
      </c>
      <c r="Q15" s="3" t="s">
        <v>268</v>
      </c>
      <c r="R15" s="3" t="s">
        <v>269</v>
      </c>
      <c r="S15" s="3" t="s">
        <v>190</v>
      </c>
      <c r="T15" s="3" t="s">
        <v>270</v>
      </c>
    </row>
    <row r="16" spans="1:20" ht="82.05" customHeight="1">
      <c r="A16" s="3" t="s">
        <v>271</v>
      </c>
      <c r="B16" s="3">
        <v>2018</v>
      </c>
      <c r="C16" s="3" t="s">
        <v>272</v>
      </c>
      <c r="D16" s="3" t="s">
        <v>273</v>
      </c>
      <c r="E16" s="3" t="s">
        <v>274</v>
      </c>
      <c r="F16" s="3" t="s">
        <v>275</v>
      </c>
      <c r="G16" s="3" t="s">
        <v>276</v>
      </c>
      <c r="H16" s="3" t="s">
        <v>54</v>
      </c>
      <c r="I16" s="3" t="s">
        <v>263</v>
      </c>
      <c r="J16" s="3" t="s">
        <v>277</v>
      </c>
      <c r="K16" s="3" t="s">
        <v>278</v>
      </c>
      <c r="L16" s="3" t="s">
        <v>279</v>
      </c>
      <c r="M16" s="3" t="s">
        <v>120</v>
      </c>
      <c r="N16" s="3" t="s">
        <v>280</v>
      </c>
      <c r="O16" s="3" t="s">
        <v>281</v>
      </c>
      <c r="P16" s="3" t="s">
        <v>155</v>
      </c>
      <c r="Q16" s="3" t="s">
        <v>282</v>
      </c>
      <c r="R16" s="3" t="s">
        <v>283</v>
      </c>
      <c r="S16" s="3" t="s">
        <v>284</v>
      </c>
      <c r="T16" s="3" t="s">
        <v>285</v>
      </c>
    </row>
    <row r="17" spans="1:20" ht="82.05" customHeight="1">
      <c r="A17" s="3" t="s">
        <v>286</v>
      </c>
      <c r="B17" s="3">
        <v>2018</v>
      </c>
      <c r="C17" s="3" t="s">
        <v>287</v>
      </c>
      <c r="D17" s="3" t="s">
        <v>288</v>
      </c>
      <c r="E17" s="3" t="s">
        <v>289</v>
      </c>
      <c r="F17" s="3" t="s">
        <v>290</v>
      </c>
      <c r="G17" s="3" t="s">
        <v>291</v>
      </c>
      <c r="H17" s="3" t="s">
        <v>54</v>
      </c>
      <c r="I17" s="3" t="s">
        <v>27</v>
      </c>
      <c r="J17" s="3" t="s">
        <v>292</v>
      </c>
      <c r="K17" s="3" t="s">
        <v>293</v>
      </c>
      <c r="L17" s="3" t="s">
        <v>294</v>
      </c>
      <c r="M17" s="3" t="s">
        <v>120</v>
      </c>
      <c r="N17" s="3" t="s">
        <v>295</v>
      </c>
      <c r="O17" s="3" t="s">
        <v>296</v>
      </c>
      <c r="P17" s="3" t="s">
        <v>297</v>
      </c>
      <c r="Q17" s="3" t="s">
        <v>298</v>
      </c>
      <c r="R17" s="3" t="s">
        <v>299</v>
      </c>
      <c r="S17" s="3" t="s">
        <v>190</v>
      </c>
      <c r="T17" s="3" t="s">
        <v>300</v>
      </c>
    </row>
    <row r="18" spans="1:20" ht="82.05" customHeight="1">
      <c r="A18" s="3" t="s">
        <v>301</v>
      </c>
      <c r="B18" s="3">
        <v>2018</v>
      </c>
      <c r="C18" s="3" t="s">
        <v>302</v>
      </c>
      <c r="D18" s="3" t="s">
        <v>303</v>
      </c>
      <c r="E18" s="3" t="s">
        <v>304</v>
      </c>
      <c r="F18" s="3"/>
      <c r="G18" s="3" t="s">
        <v>305</v>
      </c>
      <c r="H18" s="3" t="s">
        <v>54</v>
      </c>
      <c r="I18" s="3" t="s">
        <v>24</v>
      </c>
      <c r="J18" s="3" t="s">
        <v>306</v>
      </c>
      <c r="K18" s="3" t="s">
        <v>307</v>
      </c>
      <c r="L18" s="3" t="s">
        <v>308</v>
      </c>
      <c r="M18" s="3" t="s">
        <v>120</v>
      </c>
      <c r="N18" s="3" t="s">
        <v>309</v>
      </c>
      <c r="O18" s="3" t="s">
        <v>310</v>
      </c>
      <c r="P18" s="3" t="s">
        <v>311</v>
      </c>
      <c r="Q18" s="3" t="s">
        <v>312</v>
      </c>
      <c r="R18" s="3" t="s">
        <v>313</v>
      </c>
      <c r="S18" s="3" t="s">
        <v>314</v>
      </c>
      <c r="T18" s="3" t="s">
        <v>315</v>
      </c>
    </row>
    <row r="19" spans="1:20" ht="82.05" customHeight="1">
      <c r="A19" s="3" t="s">
        <v>316</v>
      </c>
      <c r="B19" s="3">
        <v>2020</v>
      </c>
      <c r="C19" s="3" t="s">
        <v>317</v>
      </c>
      <c r="D19" s="3" t="s">
        <v>318</v>
      </c>
      <c r="E19" s="3" t="s">
        <v>319</v>
      </c>
      <c r="F19" s="3" t="s">
        <v>320</v>
      </c>
      <c r="G19" s="3" t="s">
        <v>321</v>
      </c>
      <c r="H19" s="3" t="s">
        <v>54</v>
      </c>
      <c r="I19" s="3" t="s">
        <v>133</v>
      </c>
      <c r="J19" s="3" t="s">
        <v>322</v>
      </c>
      <c r="K19" s="3" t="s">
        <v>323</v>
      </c>
      <c r="L19" s="3" t="s">
        <v>324</v>
      </c>
      <c r="M19" s="3" t="s">
        <v>120</v>
      </c>
      <c r="N19" s="3" t="s">
        <v>325</v>
      </c>
      <c r="O19" s="3" t="s">
        <v>326</v>
      </c>
      <c r="P19" s="3" t="s">
        <v>327</v>
      </c>
      <c r="Q19" s="3" t="s">
        <v>328</v>
      </c>
      <c r="R19" s="3" t="s">
        <v>329</v>
      </c>
      <c r="S19" s="3" t="s">
        <v>330</v>
      </c>
      <c r="T19" s="3" t="s">
        <v>331</v>
      </c>
    </row>
    <row r="20" spans="1:20" ht="82.05" customHeight="1">
      <c r="A20" s="3" t="s">
        <v>332</v>
      </c>
      <c r="B20" s="3">
        <v>2020</v>
      </c>
      <c r="C20" s="3" t="s">
        <v>333</v>
      </c>
      <c r="D20" s="3" t="s">
        <v>334</v>
      </c>
      <c r="E20" s="3" t="s">
        <v>335</v>
      </c>
      <c r="F20" s="3" t="s">
        <v>336</v>
      </c>
      <c r="G20" s="3" t="s">
        <v>337</v>
      </c>
      <c r="H20" s="3" t="s">
        <v>54</v>
      </c>
      <c r="I20" s="3" t="s">
        <v>25</v>
      </c>
      <c r="J20" s="3" t="s">
        <v>338</v>
      </c>
      <c r="K20" s="3" t="s">
        <v>339</v>
      </c>
      <c r="L20" s="3" t="s">
        <v>340</v>
      </c>
      <c r="M20" s="3" t="s">
        <v>120</v>
      </c>
      <c r="N20" s="3" t="s">
        <v>341</v>
      </c>
      <c r="O20" s="3" t="s">
        <v>342</v>
      </c>
      <c r="P20" s="3" t="s">
        <v>343</v>
      </c>
      <c r="Q20" s="3" t="s">
        <v>344</v>
      </c>
      <c r="R20" s="3" t="s">
        <v>345</v>
      </c>
      <c r="S20" s="3" t="s">
        <v>126</v>
      </c>
      <c r="T20" s="3" t="s">
        <v>346</v>
      </c>
    </row>
    <row r="21" spans="1:20" ht="82.05" customHeight="1">
      <c r="A21" s="3" t="s">
        <v>347</v>
      </c>
      <c r="B21" s="3">
        <v>2020</v>
      </c>
      <c r="C21" s="3" t="s">
        <v>348</v>
      </c>
      <c r="D21" s="3" t="s">
        <v>349</v>
      </c>
      <c r="E21" s="3" t="s">
        <v>350</v>
      </c>
      <c r="F21" s="3" t="s">
        <v>351</v>
      </c>
      <c r="G21" s="3" t="s">
        <v>352</v>
      </c>
      <c r="H21" s="3" t="s">
        <v>54</v>
      </c>
      <c r="I21" s="3" t="s">
        <v>353</v>
      </c>
      <c r="J21" s="3" t="s">
        <v>354</v>
      </c>
      <c r="K21" s="3" t="s">
        <v>355</v>
      </c>
      <c r="L21" s="3" t="s">
        <v>356</v>
      </c>
      <c r="M21" s="3" t="s">
        <v>120</v>
      </c>
      <c r="N21" s="3" t="s">
        <v>357</v>
      </c>
      <c r="O21" s="3" t="s">
        <v>358</v>
      </c>
      <c r="P21" s="3" t="s">
        <v>359</v>
      </c>
      <c r="Q21" s="3" t="s">
        <v>360</v>
      </c>
      <c r="R21" s="3" t="s">
        <v>361</v>
      </c>
      <c r="S21" s="3" t="s">
        <v>362</v>
      </c>
      <c r="T21" s="3" t="s">
        <v>363</v>
      </c>
    </row>
    <row r="22" spans="1:20" ht="82.05" customHeight="1">
      <c r="A22" s="3" t="s">
        <v>364</v>
      </c>
      <c r="B22" s="3">
        <v>2021</v>
      </c>
      <c r="C22" s="3" t="s">
        <v>365</v>
      </c>
      <c r="D22" s="3" t="s">
        <v>366</v>
      </c>
      <c r="E22" s="3" t="s">
        <v>367</v>
      </c>
      <c r="F22" s="3" t="s">
        <v>368</v>
      </c>
      <c r="G22" s="3" t="s">
        <v>369</v>
      </c>
      <c r="H22" s="3" t="s">
        <v>54</v>
      </c>
      <c r="I22" s="3" t="s">
        <v>25</v>
      </c>
      <c r="J22" s="3" t="s">
        <v>370</v>
      </c>
      <c r="K22" s="3" t="s">
        <v>371</v>
      </c>
      <c r="L22" s="3" t="s">
        <v>372</v>
      </c>
      <c r="M22" s="3" t="s">
        <v>373</v>
      </c>
      <c r="N22" s="3" t="s">
        <v>373</v>
      </c>
      <c r="O22" s="3" t="s">
        <v>374</v>
      </c>
      <c r="P22" s="3" t="s">
        <v>155</v>
      </c>
      <c r="Q22" s="3" t="s">
        <v>375</v>
      </c>
      <c r="R22" s="3" t="s">
        <v>376</v>
      </c>
      <c r="S22" s="3" t="s">
        <v>284</v>
      </c>
      <c r="T22" s="3" t="s">
        <v>377</v>
      </c>
    </row>
    <row r="23" spans="1:20" ht="82.05" customHeight="1">
      <c r="A23" s="3" t="s">
        <v>378</v>
      </c>
      <c r="B23" s="3">
        <v>2022</v>
      </c>
      <c r="C23" s="3" t="s">
        <v>379</v>
      </c>
      <c r="D23" s="3" t="s">
        <v>380</v>
      </c>
      <c r="E23" s="3" t="s">
        <v>381</v>
      </c>
      <c r="F23" s="3" t="s">
        <v>382</v>
      </c>
      <c r="G23" s="3" t="s">
        <v>383</v>
      </c>
      <c r="H23" s="3" t="s">
        <v>54</v>
      </c>
      <c r="I23" s="3" t="s">
        <v>263</v>
      </c>
      <c r="J23" s="3" t="s">
        <v>384</v>
      </c>
      <c r="K23" s="3" t="s">
        <v>385</v>
      </c>
      <c r="L23" s="3" t="s">
        <v>386</v>
      </c>
      <c r="M23" s="3" t="s">
        <v>120</v>
      </c>
      <c r="N23" s="3" t="s">
        <v>267</v>
      </c>
      <c r="O23" s="3" t="s">
        <v>387</v>
      </c>
      <c r="P23" s="3" t="s">
        <v>297</v>
      </c>
      <c r="Q23" s="3" t="s">
        <v>388</v>
      </c>
      <c r="R23" s="3" t="s">
        <v>389</v>
      </c>
      <c r="S23" s="3" t="s">
        <v>190</v>
      </c>
      <c r="T23" s="3" t="s">
        <v>390</v>
      </c>
    </row>
    <row r="24" spans="1:20" ht="82.05" customHeight="1">
      <c r="A24" s="3" t="s">
        <v>391</v>
      </c>
      <c r="B24" s="3">
        <v>2022</v>
      </c>
      <c r="C24" s="3" t="s">
        <v>392</v>
      </c>
      <c r="D24" s="3" t="s">
        <v>393</v>
      </c>
      <c r="E24" s="3" t="s">
        <v>394</v>
      </c>
      <c r="F24" s="3" t="s">
        <v>395</v>
      </c>
      <c r="G24" s="3" t="s">
        <v>396</v>
      </c>
      <c r="H24" s="3" t="s">
        <v>54</v>
      </c>
      <c r="I24" s="3" t="s">
        <v>25</v>
      </c>
      <c r="J24" s="3" t="s">
        <v>397</v>
      </c>
      <c r="K24" s="3" t="s">
        <v>398</v>
      </c>
      <c r="L24" s="3" t="s">
        <v>399</v>
      </c>
      <c r="M24" s="3" t="s">
        <v>400</v>
      </c>
      <c r="N24" s="3" t="s">
        <v>373</v>
      </c>
      <c r="O24" s="3" t="s">
        <v>401</v>
      </c>
      <c r="P24" s="3" t="s">
        <v>402</v>
      </c>
      <c r="Q24" s="3" t="s">
        <v>403</v>
      </c>
      <c r="R24" s="3" t="s">
        <v>404</v>
      </c>
      <c r="S24" s="3" t="s">
        <v>405</v>
      </c>
      <c r="T24" s="3" t="s">
        <v>406</v>
      </c>
    </row>
    <row r="25" spans="1:20" ht="82.05" customHeight="1">
      <c r="A25" s="3" t="s">
        <v>407</v>
      </c>
      <c r="B25" s="3">
        <v>2022</v>
      </c>
      <c r="C25" s="3" t="s">
        <v>408</v>
      </c>
      <c r="D25" s="3" t="s">
        <v>409</v>
      </c>
      <c r="E25" s="3" t="s">
        <v>410</v>
      </c>
      <c r="F25" s="3"/>
      <c r="G25" s="3" t="s">
        <v>411</v>
      </c>
      <c r="H25" s="3" t="s">
        <v>54</v>
      </c>
      <c r="I25" s="3" t="s">
        <v>24</v>
      </c>
      <c r="J25" s="3" t="s">
        <v>412</v>
      </c>
      <c r="K25" s="3" t="s">
        <v>413</v>
      </c>
      <c r="L25" s="3" t="s">
        <v>414</v>
      </c>
      <c r="M25" s="3" t="s">
        <v>120</v>
      </c>
      <c r="N25" s="3" t="s">
        <v>400</v>
      </c>
      <c r="O25" s="3" t="s">
        <v>415</v>
      </c>
      <c r="P25" s="3" t="s">
        <v>155</v>
      </c>
      <c r="Q25" s="3" t="s">
        <v>416</v>
      </c>
      <c r="R25" s="3" t="s">
        <v>417</v>
      </c>
      <c r="S25" s="3" t="s">
        <v>190</v>
      </c>
      <c r="T25" s="3" t="s">
        <v>418</v>
      </c>
    </row>
    <row r="26" spans="1:20" ht="82.05" customHeight="1">
      <c r="A26" s="3" t="s">
        <v>419</v>
      </c>
      <c r="B26" s="3">
        <v>2022</v>
      </c>
      <c r="C26" s="3" t="s">
        <v>420</v>
      </c>
      <c r="D26" s="3" t="s">
        <v>421</v>
      </c>
      <c r="E26" s="3" t="s">
        <v>422</v>
      </c>
      <c r="F26" s="3" t="s">
        <v>423</v>
      </c>
      <c r="G26" s="3" t="s">
        <v>424</v>
      </c>
      <c r="H26" s="3" t="s">
        <v>54</v>
      </c>
      <c r="I26" s="3" t="s">
        <v>263</v>
      </c>
      <c r="J26" s="3" t="s">
        <v>425</v>
      </c>
      <c r="K26" s="3" t="s">
        <v>426</v>
      </c>
      <c r="L26" s="3" t="s">
        <v>427</v>
      </c>
      <c r="M26" s="3" t="s">
        <v>428</v>
      </c>
      <c r="N26" s="3" t="s">
        <v>373</v>
      </c>
      <c r="O26" s="3" t="s">
        <v>429</v>
      </c>
      <c r="P26" s="3" t="s">
        <v>155</v>
      </c>
      <c r="Q26" s="3" t="s">
        <v>430</v>
      </c>
      <c r="R26" s="3" t="s">
        <v>431</v>
      </c>
      <c r="S26" s="3" t="s">
        <v>432</v>
      </c>
      <c r="T26" s="3" t="s">
        <v>433</v>
      </c>
    </row>
    <row r="27" spans="1:20" ht="82.05" customHeight="1">
      <c r="A27" s="3" t="s">
        <v>434</v>
      </c>
      <c r="B27" s="3">
        <v>2022</v>
      </c>
      <c r="C27" s="3" t="s">
        <v>435</v>
      </c>
      <c r="D27" s="3" t="s">
        <v>436</v>
      </c>
      <c r="E27" s="3" t="s">
        <v>437</v>
      </c>
      <c r="F27" s="3" t="s">
        <v>438</v>
      </c>
      <c r="G27" s="3" t="s">
        <v>439</v>
      </c>
      <c r="H27" s="3" t="s">
        <v>440</v>
      </c>
      <c r="I27" s="3" t="s">
        <v>441</v>
      </c>
      <c r="J27" s="3" t="s">
        <v>442</v>
      </c>
      <c r="K27" s="3" t="s">
        <v>443</v>
      </c>
      <c r="L27" s="3" t="s">
        <v>444</v>
      </c>
      <c r="M27" s="3" t="s">
        <v>445</v>
      </c>
      <c r="N27" s="3" t="s">
        <v>446</v>
      </c>
      <c r="O27" s="3" t="s">
        <v>447</v>
      </c>
      <c r="P27" s="3" t="s">
        <v>448</v>
      </c>
      <c r="Q27" s="3" t="s">
        <v>449</v>
      </c>
      <c r="R27" s="3" t="s">
        <v>450</v>
      </c>
      <c r="S27" s="3" t="s">
        <v>451</v>
      </c>
      <c r="T27" s="3" t="s">
        <v>452</v>
      </c>
    </row>
    <row r="28" spans="1:20" ht="82.05" customHeight="1">
      <c r="A28" s="3" t="s">
        <v>453</v>
      </c>
      <c r="B28" s="3">
        <v>2023</v>
      </c>
      <c r="C28" s="3" t="s">
        <v>454</v>
      </c>
      <c r="D28" s="3" t="s">
        <v>455</v>
      </c>
      <c r="E28" s="3" t="s">
        <v>456</v>
      </c>
      <c r="F28" s="3" t="s">
        <v>457</v>
      </c>
      <c r="G28" s="3" t="s">
        <v>458</v>
      </c>
      <c r="H28" s="3" t="s">
        <v>54</v>
      </c>
      <c r="I28" s="3" t="s">
        <v>24</v>
      </c>
      <c r="J28" s="3" t="s">
        <v>459</v>
      </c>
      <c r="K28" s="3" t="s">
        <v>460</v>
      </c>
      <c r="L28" s="3" t="s">
        <v>461</v>
      </c>
      <c r="M28" s="3" t="s">
        <v>462</v>
      </c>
      <c r="N28" s="3" t="s">
        <v>463</v>
      </c>
      <c r="O28" s="3" t="s">
        <v>464</v>
      </c>
      <c r="P28" s="3" t="s">
        <v>155</v>
      </c>
      <c r="Q28" s="3" t="s">
        <v>465</v>
      </c>
      <c r="R28" s="3" t="s">
        <v>466</v>
      </c>
      <c r="S28" s="3" t="s">
        <v>190</v>
      </c>
      <c r="T28" s="3" t="s">
        <v>467</v>
      </c>
    </row>
    <row r="29" spans="1:20" ht="82.05" customHeight="1">
      <c r="A29" s="3" t="s">
        <v>468</v>
      </c>
      <c r="B29" s="3">
        <v>2023</v>
      </c>
      <c r="C29" s="3" t="s">
        <v>469</v>
      </c>
      <c r="D29" s="3" t="s">
        <v>470</v>
      </c>
      <c r="E29" s="3" t="s">
        <v>471</v>
      </c>
      <c r="F29" s="3" t="s">
        <v>472</v>
      </c>
      <c r="G29" s="3" t="s">
        <v>473</v>
      </c>
      <c r="H29" s="3" t="s">
        <v>54</v>
      </c>
      <c r="I29" s="3" t="s">
        <v>25</v>
      </c>
      <c r="J29" s="3" t="s">
        <v>474</v>
      </c>
      <c r="K29" s="3" t="s">
        <v>475</v>
      </c>
      <c r="L29" s="3" t="s">
        <v>476</v>
      </c>
      <c r="M29" s="3" t="s">
        <v>120</v>
      </c>
      <c r="N29" s="3" t="s">
        <v>477</v>
      </c>
      <c r="O29" s="3" t="s">
        <v>478</v>
      </c>
      <c r="P29" s="3" t="s">
        <v>479</v>
      </c>
      <c r="Q29" s="3" t="s">
        <v>480</v>
      </c>
      <c r="R29" s="3" t="s">
        <v>481</v>
      </c>
      <c r="S29" s="3" t="s">
        <v>482</v>
      </c>
      <c r="T29" s="3" t="s">
        <v>483</v>
      </c>
    </row>
    <row r="30" spans="1:20" ht="82.05" customHeight="1">
      <c r="A30" s="3" t="s">
        <v>484</v>
      </c>
      <c r="B30" s="3">
        <v>2024</v>
      </c>
      <c r="C30" s="3" t="s">
        <v>485</v>
      </c>
      <c r="D30" s="3" t="s">
        <v>486</v>
      </c>
      <c r="E30" s="3" t="s">
        <v>304</v>
      </c>
      <c r="F30" s="3"/>
      <c r="G30" s="3" t="s">
        <v>487</v>
      </c>
      <c r="H30" s="3" t="s">
        <v>54</v>
      </c>
      <c r="I30" s="3" t="s">
        <v>24</v>
      </c>
      <c r="J30" s="3" t="s">
        <v>488</v>
      </c>
      <c r="K30" s="3" t="s">
        <v>489</v>
      </c>
      <c r="L30" s="3" t="s">
        <v>490</v>
      </c>
      <c r="M30" s="3" t="s">
        <v>491</v>
      </c>
      <c r="N30" s="3" t="s">
        <v>400</v>
      </c>
      <c r="O30" s="3" t="s">
        <v>492</v>
      </c>
      <c r="P30" s="3" t="s">
        <v>493</v>
      </c>
      <c r="Q30" s="3" t="s">
        <v>494</v>
      </c>
      <c r="R30" s="3" t="s">
        <v>495</v>
      </c>
      <c r="S30" s="3" t="s">
        <v>496</v>
      </c>
      <c r="T30" s="3" t="s">
        <v>497</v>
      </c>
    </row>
    <row r="31" spans="1:20" ht="82.05" customHeight="1">
      <c r="A31" s="3" t="s">
        <v>498</v>
      </c>
      <c r="B31" s="3">
        <v>2024</v>
      </c>
      <c r="C31" s="3" t="s">
        <v>499</v>
      </c>
      <c r="D31" s="3" t="s">
        <v>500</v>
      </c>
      <c r="E31" s="3" t="s">
        <v>501</v>
      </c>
      <c r="F31" s="3" t="s">
        <v>502</v>
      </c>
      <c r="G31" s="3" t="s">
        <v>503</v>
      </c>
      <c r="H31" s="3" t="s">
        <v>54</v>
      </c>
      <c r="I31" s="3" t="s">
        <v>24</v>
      </c>
      <c r="J31" s="3" t="s">
        <v>504</v>
      </c>
      <c r="K31" s="3" t="s">
        <v>505</v>
      </c>
      <c r="L31" s="3" t="s">
        <v>506</v>
      </c>
      <c r="M31" s="3" t="s">
        <v>120</v>
      </c>
      <c r="N31" s="3" t="s">
        <v>507</v>
      </c>
      <c r="O31" s="3" t="s">
        <v>508</v>
      </c>
      <c r="P31" s="3" t="s">
        <v>509</v>
      </c>
      <c r="Q31" s="3" t="s">
        <v>510</v>
      </c>
      <c r="R31" s="3" t="s">
        <v>511</v>
      </c>
      <c r="S31" s="3" t="s">
        <v>512</v>
      </c>
      <c r="T31" s="3" t="s">
        <v>513</v>
      </c>
    </row>
    <row r="32" spans="1:20" ht="82.05" customHeight="1">
      <c r="A32" s="3" t="s">
        <v>514</v>
      </c>
      <c r="B32" s="3">
        <v>2026</v>
      </c>
      <c r="C32" s="3" t="s">
        <v>515</v>
      </c>
      <c r="D32" s="3" t="s">
        <v>516</v>
      </c>
      <c r="E32" s="3" t="s">
        <v>517</v>
      </c>
      <c r="F32" s="3" t="s">
        <v>518</v>
      </c>
      <c r="G32" s="3" t="s">
        <v>519</v>
      </c>
      <c r="H32" s="3" t="s">
        <v>54</v>
      </c>
      <c r="I32" s="3" t="s">
        <v>133</v>
      </c>
      <c r="J32" s="3" t="s">
        <v>520</v>
      </c>
      <c r="K32" s="3" t="s">
        <v>521</v>
      </c>
      <c r="L32" s="3" t="s">
        <v>522</v>
      </c>
      <c r="M32" s="3" t="s">
        <v>120</v>
      </c>
      <c r="N32" s="3" t="s">
        <v>463</v>
      </c>
      <c r="O32" s="3" t="s">
        <v>310</v>
      </c>
      <c r="P32" s="3" t="s">
        <v>155</v>
      </c>
      <c r="Q32" s="3" t="s">
        <v>523</v>
      </c>
      <c r="R32" s="3" t="s">
        <v>524</v>
      </c>
      <c r="S32" s="3" t="s">
        <v>525</v>
      </c>
      <c r="T32" s="3" t="s">
        <v>526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17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" width="9" customWidth="1"/>
    <col min="2" max="2" width="10" customWidth="1"/>
    <col min="3" max="3" width="8" customWidth="1"/>
    <col min="4" max="4" width="26" customWidth="1"/>
    <col min="5" max="5" width="38" customWidth="1"/>
    <col min="6" max="6" width="39" customWidth="1"/>
    <col min="7" max="7" width="10" customWidth="1"/>
    <col min="8" max="8" width="18" customWidth="1"/>
    <col min="9" max="10" width="14" customWidth="1"/>
    <col min="11" max="11" width="19" customWidth="1"/>
    <col min="12" max="12" width="30" customWidth="1"/>
    <col min="13" max="13" width="36" customWidth="1"/>
    <col min="14" max="17" width="13" customWidth="1"/>
    <col min="18" max="18" width="20" customWidth="1"/>
    <col min="19" max="20" width="25" customWidth="1"/>
    <col min="21" max="21" width="65" customWidth="1"/>
    <col min="22" max="22" width="47" customWidth="1"/>
    <col min="23" max="23" width="40" customWidth="1"/>
    <col min="24" max="24" width="65" customWidth="1"/>
  </cols>
  <sheetData>
    <row r="1" spans="1:24" ht="42" customHeight="1">
      <c r="A1" s="4" t="s">
        <v>527</v>
      </c>
      <c r="B1" s="4" t="s">
        <v>528</v>
      </c>
      <c r="C1" s="4" t="s">
        <v>30</v>
      </c>
      <c r="D1" s="4" t="s">
        <v>37</v>
      </c>
      <c r="E1" s="4" t="s">
        <v>529</v>
      </c>
      <c r="F1" s="4" t="s">
        <v>530</v>
      </c>
      <c r="G1" s="4" t="s">
        <v>531</v>
      </c>
      <c r="H1" s="4" t="s">
        <v>41</v>
      </c>
      <c r="I1" s="4" t="s">
        <v>532</v>
      </c>
      <c r="J1" s="4" t="s">
        <v>533</v>
      </c>
      <c r="K1" s="4" t="s">
        <v>534</v>
      </c>
      <c r="L1" s="4" t="s">
        <v>43</v>
      </c>
      <c r="M1" s="4" t="s">
        <v>535</v>
      </c>
      <c r="N1" s="4" t="s">
        <v>536</v>
      </c>
      <c r="O1" s="4" t="s">
        <v>537</v>
      </c>
      <c r="P1" s="4" t="s">
        <v>538</v>
      </c>
      <c r="Q1" s="4" t="s">
        <v>539</v>
      </c>
      <c r="R1" s="4" t="s">
        <v>540</v>
      </c>
      <c r="S1" s="4" t="s">
        <v>541</v>
      </c>
      <c r="T1" s="4" t="s">
        <v>542</v>
      </c>
      <c r="U1" s="4" t="s">
        <v>543</v>
      </c>
      <c r="V1" s="4" t="s">
        <v>544</v>
      </c>
      <c r="W1" s="4" t="s">
        <v>545</v>
      </c>
      <c r="X1" s="4" t="s">
        <v>546</v>
      </c>
    </row>
    <row r="2" spans="1:24" ht="46.05" customHeight="1">
      <c r="A2" s="3" t="s">
        <v>547</v>
      </c>
      <c r="B2" s="3" t="s">
        <v>49</v>
      </c>
      <c r="C2" s="3">
        <v>1995</v>
      </c>
      <c r="D2" s="3" t="s">
        <v>24</v>
      </c>
      <c r="E2" s="3" t="s">
        <v>548</v>
      </c>
      <c r="F2" s="3" t="s">
        <v>549</v>
      </c>
      <c r="G2" s="6">
        <v>26</v>
      </c>
      <c r="H2" s="3" t="s">
        <v>58</v>
      </c>
      <c r="I2" s="5"/>
      <c r="J2" s="5"/>
      <c r="K2" s="3"/>
      <c r="L2" s="3" t="s">
        <v>60</v>
      </c>
      <c r="M2" s="3" t="s">
        <v>61</v>
      </c>
      <c r="N2" s="5">
        <v>178</v>
      </c>
      <c r="O2" s="5"/>
      <c r="P2" s="5"/>
      <c r="Q2" s="5"/>
      <c r="R2" s="3" t="s">
        <v>550</v>
      </c>
      <c r="S2" s="3" t="s">
        <v>551</v>
      </c>
      <c r="T2" s="3"/>
      <c r="U2" s="3" t="s">
        <v>552</v>
      </c>
      <c r="V2" s="3" t="s">
        <v>53</v>
      </c>
      <c r="W2" s="3" t="s">
        <v>64</v>
      </c>
      <c r="X2" s="3" t="s">
        <v>65</v>
      </c>
    </row>
    <row r="3" spans="1:24" ht="46.05" customHeight="1">
      <c r="A3" s="3" t="s">
        <v>553</v>
      </c>
      <c r="B3" s="3" t="s">
        <v>49</v>
      </c>
      <c r="C3" s="3">
        <v>1995</v>
      </c>
      <c r="D3" s="3" t="s">
        <v>24</v>
      </c>
      <c r="E3" s="3" t="s">
        <v>554</v>
      </c>
      <c r="F3" s="3" t="s">
        <v>549</v>
      </c>
      <c r="G3" s="6">
        <v>26</v>
      </c>
      <c r="H3" s="3" t="s">
        <v>58</v>
      </c>
      <c r="I3" s="5"/>
      <c r="J3" s="5"/>
      <c r="K3" s="3"/>
      <c r="L3" s="3" t="s">
        <v>60</v>
      </c>
      <c r="M3" s="3" t="s">
        <v>61</v>
      </c>
      <c r="N3" s="5">
        <v>8.24</v>
      </c>
      <c r="O3" s="5"/>
      <c r="P3" s="5"/>
      <c r="Q3" s="5"/>
      <c r="R3" s="3" t="s">
        <v>555</v>
      </c>
      <c r="S3" s="3" t="s">
        <v>551</v>
      </c>
      <c r="T3" s="3"/>
      <c r="U3" s="3" t="s">
        <v>556</v>
      </c>
      <c r="V3" s="3" t="s">
        <v>53</v>
      </c>
      <c r="W3" s="3" t="s">
        <v>64</v>
      </c>
      <c r="X3" s="3" t="s">
        <v>65</v>
      </c>
    </row>
    <row r="4" spans="1:24" ht="46.05" customHeight="1">
      <c r="A4" s="3" t="s">
        <v>557</v>
      </c>
      <c r="B4" s="3" t="s">
        <v>49</v>
      </c>
      <c r="C4" s="3">
        <v>1995</v>
      </c>
      <c r="D4" s="3" t="s">
        <v>24</v>
      </c>
      <c r="E4" s="3" t="s">
        <v>558</v>
      </c>
      <c r="F4" s="3" t="s">
        <v>559</v>
      </c>
      <c r="G4" s="6">
        <v>26</v>
      </c>
      <c r="H4" s="3" t="s">
        <v>58</v>
      </c>
      <c r="I4" s="5"/>
      <c r="J4" s="5"/>
      <c r="K4" s="3"/>
      <c r="L4" s="3" t="s">
        <v>60</v>
      </c>
      <c r="M4" s="3" t="s">
        <v>61</v>
      </c>
      <c r="N4" s="5"/>
      <c r="O4" s="5"/>
      <c r="P4" s="5"/>
      <c r="Q4" s="5"/>
      <c r="R4" s="3" t="s">
        <v>560</v>
      </c>
      <c r="S4" s="3" t="s">
        <v>561</v>
      </c>
      <c r="T4" s="3" t="s">
        <v>562</v>
      </c>
      <c r="U4" s="3" t="s">
        <v>563</v>
      </c>
      <c r="V4" s="3" t="s">
        <v>53</v>
      </c>
      <c r="W4" s="3" t="s">
        <v>64</v>
      </c>
      <c r="X4" s="3" t="s">
        <v>65</v>
      </c>
    </row>
    <row r="5" spans="1:24" ht="46.05" customHeight="1">
      <c r="A5" s="3" t="s">
        <v>564</v>
      </c>
      <c r="B5" s="3" t="s">
        <v>49</v>
      </c>
      <c r="C5" s="3">
        <v>1995</v>
      </c>
      <c r="D5" s="3" t="s">
        <v>24</v>
      </c>
      <c r="E5" s="3" t="s">
        <v>565</v>
      </c>
      <c r="F5" s="3" t="s">
        <v>566</v>
      </c>
      <c r="G5" s="6">
        <v>26</v>
      </c>
      <c r="H5" s="3" t="s">
        <v>58</v>
      </c>
      <c r="I5" s="5"/>
      <c r="J5" s="5"/>
      <c r="K5" s="3"/>
      <c r="L5" s="3" t="s">
        <v>60</v>
      </c>
      <c r="M5" s="3" t="s">
        <v>61</v>
      </c>
      <c r="N5" s="5"/>
      <c r="O5" s="5"/>
      <c r="P5" s="5"/>
      <c r="Q5" s="5"/>
      <c r="R5" s="3" t="s">
        <v>555</v>
      </c>
      <c r="S5" s="3" t="s">
        <v>561</v>
      </c>
      <c r="T5" s="3" t="s">
        <v>562</v>
      </c>
      <c r="U5" s="3" t="s">
        <v>567</v>
      </c>
      <c r="V5" s="3" t="s">
        <v>53</v>
      </c>
      <c r="W5" s="3" t="s">
        <v>64</v>
      </c>
      <c r="X5" s="3" t="s">
        <v>65</v>
      </c>
    </row>
    <row r="6" spans="1:24" ht="46.05" customHeight="1">
      <c r="A6" s="3" t="s">
        <v>568</v>
      </c>
      <c r="B6" s="3" t="s">
        <v>66</v>
      </c>
      <c r="C6" s="3">
        <v>2002</v>
      </c>
      <c r="D6" s="3" t="s">
        <v>24</v>
      </c>
      <c r="E6" s="3" t="s">
        <v>569</v>
      </c>
      <c r="F6" s="3" t="s">
        <v>570</v>
      </c>
      <c r="G6" s="6">
        <v>8</v>
      </c>
      <c r="H6" s="3" t="s">
        <v>58</v>
      </c>
      <c r="I6" s="5"/>
      <c r="J6" s="5"/>
      <c r="K6" s="3"/>
      <c r="L6" s="3" t="s">
        <v>75</v>
      </c>
      <c r="M6" s="3" t="s">
        <v>76</v>
      </c>
      <c r="N6" s="5">
        <v>46</v>
      </c>
      <c r="O6" s="5">
        <v>4.2</v>
      </c>
      <c r="P6" s="5"/>
      <c r="Q6" s="5"/>
      <c r="R6" s="3" t="s">
        <v>560</v>
      </c>
      <c r="S6" s="3" t="s">
        <v>571</v>
      </c>
      <c r="T6" s="3" t="s">
        <v>572</v>
      </c>
      <c r="U6" s="3" t="s">
        <v>573</v>
      </c>
      <c r="V6" s="3" t="s">
        <v>70</v>
      </c>
      <c r="W6" s="3" t="s">
        <v>64</v>
      </c>
      <c r="X6" s="3" t="s">
        <v>79</v>
      </c>
    </row>
    <row r="7" spans="1:24" ht="46.05" customHeight="1">
      <c r="A7" s="3" t="s">
        <v>574</v>
      </c>
      <c r="B7" s="3" t="s">
        <v>66</v>
      </c>
      <c r="C7" s="3">
        <v>2002</v>
      </c>
      <c r="D7" s="3" t="s">
        <v>24</v>
      </c>
      <c r="E7" s="3" t="s">
        <v>575</v>
      </c>
      <c r="F7" s="3" t="s">
        <v>570</v>
      </c>
      <c r="G7" s="6">
        <v>8</v>
      </c>
      <c r="H7" s="3" t="s">
        <v>58</v>
      </c>
      <c r="I7" s="5"/>
      <c r="J7" s="5"/>
      <c r="K7" s="3"/>
      <c r="L7" s="3" t="s">
        <v>75</v>
      </c>
      <c r="M7" s="3" t="s">
        <v>76</v>
      </c>
      <c r="N7" s="5">
        <v>58.2</v>
      </c>
      <c r="O7" s="5">
        <v>6.9</v>
      </c>
      <c r="P7" s="5"/>
      <c r="Q7" s="5"/>
      <c r="R7" s="3" t="s">
        <v>576</v>
      </c>
      <c r="S7" s="3" t="s">
        <v>571</v>
      </c>
      <c r="T7" s="3" t="s">
        <v>577</v>
      </c>
      <c r="U7" s="3"/>
      <c r="V7" s="3" t="s">
        <v>70</v>
      </c>
      <c r="W7" s="3" t="s">
        <v>64</v>
      </c>
      <c r="X7" s="3" t="s">
        <v>79</v>
      </c>
    </row>
    <row r="8" spans="1:24" ht="46.05" customHeight="1">
      <c r="A8" s="3" t="s">
        <v>578</v>
      </c>
      <c r="B8" s="3" t="s">
        <v>66</v>
      </c>
      <c r="C8" s="3">
        <v>2002</v>
      </c>
      <c r="D8" s="3" t="s">
        <v>24</v>
      </c>
      <c r="E8" s="3" t="s">
        <v>579</v>
      </c>
      <c r="F8" s="3" t="s">
        <v>570</v>
      </c>
      <c r="G8" s="6">
        <v>8</v>
      </c>
      <c r="H8" s="3" t="s">
        <v>58</v>
      </c>
      <c r="I8" s="5"/>
      <c r="J8" s="5"/>
      <c r="K8" s="3"/>
      <c r="L8" s="3" t="s">
        <v>75</v>
      </c>
      <c r="M8" s="3" t="s">
        <v>76</v>
      </c>
      <c r="N8" s="5">
        <v>57.5</v>
      </c>
      <c r="O8" s="5">
        <v>4.7</v>
      </c>
      <c r="P8" s="5"/>
      <c r="Q8" s="5"/>
      <c r="R8" s="3" t="s">
        <v>560</v>
      </c>
      <c r="S8" s="3" t="s">
        <v>571</v>
      </c>
      <c r="T8" s="3" t="s">
        <v>580</v>
      </c>
      <c r="U8" s="3"/>
      <c r="V8" s="3" t="s">
        <v>70</v>
      </c>
      <c r="W8" s="3" t="s">
        <v>64</v>
      </c>
      <c r="X8" s="3" t="s">
        <v>79</v>
      </c>
    </row>
    <row r="9" spans="1:24" ht="46.05" customHeight="1">
      <c r="A9" s="3" t="s">
        <v>581</v>
      </c>
      <c r="B9" s="3" t="s">
        <v>66</v>
      </c>
      <c r="C9" s="3">
        <v>2002</v>
      </c>
      <c r="D9" s="3" t="s">
        <v>582</v>
      </c>
      <c r="E9" s="3" t="s">
        <v>583</v>
      </c>
      <c r="F9" s="3" t="s">
        <v>570</v>
      </c>
      <c r="G9" s="6">
        <v>8</v>
      </c>
      <c r="H9" s="3" t="s">
        <v>58</v>
      </c>
      <c r="I9" s="5"/>
      <c r="J9" s="5"/>
      <c r="K9" s="3"/>
      <c r="L9" s="3" t="s">
        <v>75</v>
      </c>
      <c r="M9" s="3" t="s">
        <v>76</v>
      </c>
      <c r="N9" s="5">
        <v>17.600000000000001</v>
      </c>
      <c r="O9" s="5">
        <v>0.6</v>
      </c>
      <c r="P9" s="5"/>
      <c r="Q9" s="5"/>
      <c r="R9" s="3" t="s">
        <v>584</v>
      </c>
      <c r="S9" s="3" t="s">
        <v>571</v>
      </c>
      <c r="T9" s="3" t="s">
        <v>585</v>
      </c>
      <c r="U9" s="3"/>
      <c r="V9" s="3" t="s">
        <v>70</v>
      </c>
      <c r="W9" s="3" t="s">
        <v>64</v>
      </c>
      <c r="X9" s="3" t="s">
        <v>79</v>
      </c>
    </row>
    <row r="10" spans="1:24" ht="46.05" customHeight="1">
      <c r="A10" s="3" t="s">
        <v>586</v>
      </c>
      <c r="B10" s="3" t="s">
        <v>80</v>
      </c>
      <c r="C10" s="3">
        <v>2005</v>
      </c>
      <c r="D10" s="3" t="s">
        <v>25</v>
      </c>
      <c r="E10" s="3" t="s">
        <v>587</v>
      </c>
      <c r="F10" s="3" t="s">
        <v>588</v>
      </c>
      <c r="G10" s="6">
        <v>7</v>
      </c>
      <c r="H10" s="3" t="s">
        <v>58</v>
      </c>
      <c r="I10" s="5"/>
      <c r="J10" s="5"/>
      <c r="K10" s="3"/>
      <c r="L10" s="3" t="s">
        <v>90</v>
      </c>
      <c r="M10" s="3" t="s">
        <v>91</v>
      </c>
      <c r="N10" s="5">
        <v>3427</v>
      </c>
      <c r="O10" s="5">
        <v>811</v>
      </c>
      <c r="P10" s="5"/>
      <c r="Q10" s="5"/>
      <c r="R10" s="3" t="s">
        <v>589</v>
      </c>
      <c r="S10" s="3" t="s">
        <v>571</v>
      </c>
      <c r="T10" s="3"/>
      <c r="U10" s="3" t="s">
        <v>590</v>
      </c>
      <c r="V10" s="3" t="s">
        <v>85</v>
      </c>
      <c r="W10" s="3" t="s">
        <v>94</v>
      </c>
      <c r="X10" s="3" t="s">
        <v>591</v>
      </c>
    </row>
    <row r="11" spans="1:24" ht="46.05" customHeight="1">
      <c r="A11" s="3" t="s">
        <v>592</v>
      </c>
      <c r="B11" s="3" t="s">
        <v>80</v>
      </c>
      <c r="C11" s="3">
        <v>2005</v>
      </c>
      <c r="D11" s="3" t="s">
        <v>25</v>
      </c>
      <c r="E11" s="3" t="s">
        <v>593</v>
      </c>
      <c r="F11" s="3" t="s">
        <v>588</v>
      </c>
      <c r="G11" s="6">
        <v>7</v>
      </c>
      <c r="H11" s="3" t="s">
        <v>58</v>
      </c>
      <c r="I11" s="5"/>
      <c r="J11" s="5"/>
      <c r="K11" s="3"/>
      <c r="L11" s="3" t="s">
        <v>90</v>
      </c>
      <c r="M11" s="3" t="s">
        <v>91</v>
      </c>
      <c r="N11" s="5">
        <v>9.14</v>
      </c>
      <c r="O11" s="5">
        <v>2.06</v>
      </c>
      <c r="P11" s="5"/>
      <c r="Q11" s="5"/>
      <c r="R11" s="3" t="s">
        <v>594</v>
      </c>
      <c r="S11" s="3" t="s">
        <v>571</v>
      </c>
      <c r="T11" s="3"/>
      <c r="U11" s="3" t="s">
        <v>590</v>
      </c>
      <c r="V11" s="3" t="s">
        <v>85</v>
      </c>
      <c r="W11" s="3" t="s">
        <v>94</v>
      </c>
      <c r="X11" s="3" t="s">
        <v>591</v>
      </c>
    </row>
    <row r="12" spans="1:24" ht="46.05" customHeight="1">
      <c r="A12" s="3" t="s">
        <v>595</v>
      </c>
      <c r="B12" s="3" t="s">
        <v>80</v>
      </c>
      <c r="C12" s="3">
        <v>2005</v>
      </c>
      <c r="D12" s="3" t="s">
        <v>25</v>
      </c>
      <c r="E12" s="3" t="s">
        <v>596</v>
      </c>
      <c r="F12" s="3" t="s">
        <v>588</v>
      </c>
      <c r="G12" s="6">
        <v>7</v>
      </c>
      <c r="H12" s="3" t="s">
        <v>58</v>
      </c>
      <c r="I12" s="5"/>
      <c r="J12" s="5"/>
      <c r="K12" s="3"/>
      <c r="L12" s="3" t="s">
        <v>90</v>
      </c>
      <c r="M12" s="3" t="s">
        <v>91</v>
      </c>
      <c r="N12" s="5">
        <v>2.9</v>
      </c>
      <c r="O12" s="5">
        <v>2</v>
      </c>
      <c r="P12" s="5"/>
      <c r="Q12" s="5"/>
      <c r="R12" s="3" t="s">
        <v>576</v>
      </c>
      <c r="S12" s="3" t="s">
        <v>571</v>
      </c>
      <c r="T12" s="3"/>
      <c r="U12" s="3" t="s">
        <v>590</v>
      </c>
      <c r="V12" s="3" t="s">
        <v>85</v>
      </c>
      <c r="W12" s="3" t="s">
        <v>94</v>
      </c>
      <c r="X12" s="3" t="s">
        <v>591</v>
      </c>
    </row>
    <row r="13" spans="1:24" ht="46.05" customHeight="1">
      <c r="A13" s="3" t="s">
        <v>597</v>
      </c>
      <c r="B13" s="3" t="s">
        <v>80</v>
      </c>
      <c r="C13" s="3">
        <v>2005</v>
      </c>
      <c r="D13" s="3" t="s">
        <v>25</v>
      </c>
      <c r="E13" s="3" t="s">
        <v>598</v>
      </c>
      <c r="F13" s="3" t="s">
        <v>588</v>
      </c>
      <c r="G13" s="6">
        <v>7</v>
      </c>
      <c r="H13" s="3" t="s">
        <v>58</v>
      </c>
      <c r="I13" s="5"/>
      <c r="J13" s="5"/>
      <c r="K13" s="3"/>
      <c r="L13" s="3" t="s">
        <v>90</v>
      </c>
      <c r="M13" s="3" t="s">
        <v>91</v>
      </c>
      <c r="N13" s="5">
        <v>876</v>
      </c>
      <c r="O13" s="5">
        <v>288</v>
      </c>
      <c r="P13" s="5"/>
      <c r="Q13" s="5"/>
      <c r="R13" s="3" t="s">
        <v>589</v>
      </c>
      <c r="S13" s="3" t="s">
        <v>571</v>
      </c>
      <c r="T13" s="3"/>
      <c r="U13" s="3" t="s">
        <v>590</v>
      </c>
      <c r="V13" s="3" t="s">
        <v>85</v>
      </c>
      <c r="W13" s="3" t="s">
        <v>94</v>
      </c>
      <c r="X13" s="3" t="s">
        <v>591</v>
      </c>
    </row>
    <row r="14" spans="1:24" ht="46.05" customHeight="1">
      <c r="A14" s="3" t="s">
        <v>599</v>
      </c>
      <c r="B14" s="3" t="s">
        <v>80</v>
      </c>
      <c r="C14" s="3">
        <v>2005</v>
      </c>
      <c r="D14" s="3" t="s">
        <v>25</v>
      </c>
      <c r="E14" s="3" t="s">
        <v>600</v>
      </c>
      <c r="F14" s="3" t="s">
        <v>588</v>
      </c>
      <c r="G14" s="6">
        <v>7</v>
      </c>
      <c r="H14" s="3" t="s">
        <v>58</v>
      </c>
      <c r="I14" s="5"/>
      <c r="J14" s="5"/>
      <c r="K14" s="3"/>
      <c r="L14" s="3" t="s">
        <v>90</v>
      </c>
      <c r="M14" s="3" t="s">
        <v>91</v>
      </c>
      <c r="N14" s="5">
        <v>58</v>
      </c>
      <c r="O14" s="5">
        <v>13</v>
      </c>
      <c r="P14" s="5"/>
      <c r="Q14" s="5"/>
      <c r="R14" s="3" t="s">
        <v>601</v>
      </c>
      <c r="S14" s="3" t="s">
        <v>571</v>
      </c>
      <c r="T14" s="3"/>
      <c r="U14" s="3" t="s">
        <v>590</v>
      </c>
      <c r="V14" s="3" t="s">
        <v>85</v>
      </c>
      <c r="W14" s="3" t="s">
        <v>94</v>
      </c>
      <c r="X14" s="3" t="s">
        <v>591</v>
      </c>
    </row>
    <row r="15" spans="1:24" ht="46.05" customHeight="1">
      <c r="A15" s="3" t="s">
        <v>602</v>
      </c>
      <c r="B15" s="3" t="s">
        <v>80</v>
      </c>
      <c r="C15" s="3">
        <v>2005</v>
      </c>
      <c r="D15" s="3" t="s">
        <v>25</v>
      </c>
      <c r="E15" s="3" t="s">
        <v>603</v>
      </c>
      <c r="F15" s="3" t="s">
        <v>588</v>
      </c>
      <c r="G15" s="6">
        <v>7</v>
      </c>
      <c r="H15" s="3" t="s">
        <v>58</v>
      </c>
      <c r="I15" s="5"/>
      <c r="J15" s="5"/>
      <c r="K15" s="3"/>
      <c r="L15" s="3" t="s">
        <v>90</v>
      </c>
      <c r="M15" s="3" t="s">
        <v>91</v>
      </c>
      <c r="N15" s="5">
        <v>6343</v>
      </c>
      <c r="O15" s="5">
        <v>1789</v>
      </c>
      <c r="P15" s="5"/>
      <c r="Q15" s="5"/>
      <c r="R15" s="3" t="s">
        <v>604</v>
      </c>
      <c r="S15" s="3" t="s">
        <v>571</v>
      </c>
      <c r="T15" s="3"/>
      <c r="U15" s="3" t="s">
        <v>590</v>
      </c>
      <c r="V15" s="3" t="s">
        <v>85</v>
      </c>
      <c r="W15" s="3" t="s">
        <v>94</v>
      </c>
      <c r="X15" s="3" t="s">
        <v>591</v>
      </c>
    </row>
    <row r="16" spans="1:24" ht="46.05" customHeight="1">
      <c r="A16" s="3" t="s">
        <v>605</v>
      </c>
      <c r="B16" s="3" t="s">
        <v>80</v>
      </c>
      <c r="C16" s="3">
        <v>2005</v>
      </c>
      <c r="D16" s="3" t="s">
        <v>25</v>
      </c>
      <c r="E16" s="3" t="s">
        <v>606</v>
      </c>
      <c r="F16" s="3" t="s">
        <v>588</v>
      </c>
      <c r="G16" s="6">
        <v>7</v>
      </c>
      <c r="H16" s="3" t="s">
        <v>58</v>
      </c>
      <c r="I16" s="5"/>
      <c r="J16" s="5"/>
      <c r="K16" s="3"/>
      <c r="L16" s="3" t="s">
        <v>90</v>
      </c>
      <c r="M16" s="3" t="s">
        <v>91</v>
      </c>
      <c r="N16" s="5">
        <v>994</v>
      </c>
      <c r="O16" s="5">
        <v>318</v>
      </c>
      <c r="P16" s="5"/>
      <c r="Q16" s="5"/>
      <c r="R16" s="3" t="s">
        <v>589</v>
      </c>
      <c r="S16" s="3" t="s">
        <v>571</v>
      </c>
      <c r="T16" s="3"/>
      <c r="U16" s="3" t="s">
        <v>590</v>
      </c>
      <c r="V16" s="3" t="s">
        <v>85</v>
      </c>
      <c r="W16" s="3" t="s">
        <v>94</v>
      </c>
      <c r="X16" s="3" t="s">
        <v>591</v>
      </c>
    </row>
    <row r="17" spans="1:24" ht="46.05" customHeight="1">
      <c r="A17" s="3" t="s">
        <v>607</v>
      </c>
      <c r="B17" s="3" t="s">
        <v>96</v>
      </c>
      <c r="C17" s="3">
        <v>2006</v>
      </c>
      <c r="D17" s="3" t="s">
        <v>25</v>
      </c>
      <c r="E17" s="3" t="s">
        <v>587</v>
      </c>
      <c r="F17" s="3" t="s">
        <v>608</v>
      </c>
      <c r="G17" s="6">
        <v>12</v>
      </c>
      <c r="H17" s="3" t="s">
        <v>58</v>
      </c>
      <c r="I17" s="5"/>
      <c r="J17" s="5"/>
      <c r="K17" s="3"/>
      <c r="L17" s="3" t="s">
        <v>106</v>
      </c>
      <c r="M17" s="3" t="s">
        <v>107</v>
      </c>
      <c r="N17" s="5">
        <v>866.6</v>
      </c>
      <c r="O17" s="5"/>
      <c r="P17" s="5"/>
      <c r="Q17" s="5"/>
      <c r="R17" s="3" t="s">
        <v>589</v>
      </c>
      <c r="S17" s="3" t="s">
        <v>609</v>
      </c>
      <c r="T17" s="3"/>
      <c r="U17" s="3" t="s">
        <v>610</v>
      </c>
      <c r="V17" s="3" t="s">
        <v>101</v>
      </c>
      <c r="W17" s="3" t="s">
        <v>110</v>
      </c>
      <c r="X17" s="3" t="s">
        <v>611</v>
      </c>
    </row>
    <row r="18" spans="1:24" ht="46.05" customHeight="1">
      <c r="A18" s="3" t="s">
        <v>612</v>
      </c>
      <c r="B18" s="3" t="s">
        <v>96</v>
      </c>
      <c r="C18" s="3">
        <v>2006</v>
      </c>
      <c r="D18" s="3" t="s">
        <v>25</v>
      </c>
      <c r="E18" s="3" t="s">
        <v>587</v>
      </c>
      <c r="F18" s="3" t="s">
        <v>613</v>
      </c>
      <c r="G18" s="6">
        <v>12</v>
      </c>
      <c r="H18" s="3" t="s">
        <v>58</v>
      </c>
      <c r="I18" s="5"/>
      <c r="J18" s="5"/>
      <c r="K18" s="3"/>
      <c r="L18" s="3" t="s">
        <v>106</v>
      </c>
      <c r="M18" s="3" t="s">
        <v>107</v>
      </c>
      <c r="N18" s="5">
        <v>1149.2</v>
      </c>
      <c r="O18" s="5"/>
      <c r="P18" s="5"/>
      <c r="Q18" s="5"/>
      <c r="R18" s="3" t="s">
        <v>589</v>
      </c>
      <c r="S18" s="3" t="s">
        <v>609</v>
      </c>
      <c r="T18" s="3"/>
      <c r="U18" s="3" t="s">
        <v>614</v>
      </c>
      <c r="V18" s="3" t="s">
        <v>101</v>
      </c>
      <c r="W18" s="3" t="s">
        <v>110</v>
      </c>
      <c r="X18" s="3" t="s">
        <v>615</v>
      </c>
    </row>
    <row r="19" spans="1:24" ht="46.05" customHeight="1">
      <c r="A19" s="3" t="s">
        <v>616</v>
      </c>
      <c r="B19" s="3" t="s">
        <v>112</v>
      </c>
      <c r="C19" s="3">
        <v>2006</v>
      </c>
      <c r="D19" s="3" t="s">
        <v>617</v>
      </c>
      <c r="E19" s="3" t="s">
        <v>618</v>
      </c>
      <c r="F19" s="3" t="s">
        <v>619</v>
      </c>
      <c r="G19" s="6">
        <v>30</v>
      </c>
      <c r="H19" s="3" t="s">
        <v>120</v>
      </c>
      <c r="I19" s="5">
        <v>17.600000000000001</v>
      </c>
      <c r="J19" s="5">
        <v>2.9</v>
      </c>
      <c r="K19" s="3"/>
      <c r="L19" s="3" t="s">
        <v>122</v>
      </c>
      <c r="M19" s="3" t="s">
        <v>123</v>
      </c>
      <c r="N19" s="5">
        <v>17.600000000000001</v>
      </c>
      <c r="O19" s="5">
        <v>2.9</v>
      </c>
      <c r="P19" s="5"/>
      <c r="Q19" s="5"/>
      <c r="R19" s="3" t="s">
        <v>620</v>
      </c>
      <c r="S19" s="3" t="s">
        <v>571</v>
      </c>
      <c r="T19" s="3"/>
      <c r="U19" s="3" t="s">
        <v>621</v>
      </c>
      <c r="V19" s="3" t="s">
        <v>116</v>
      </c>
      <c r="W19" s="3" t="s">
        <v>622</v>
      </c>
      <c r="X19" s="3" t="s">
        <v>623</v>
      </c>
    </row>
    <row r="20" spans="1:24" ht="46.05" customHeight="1">
      <c r="A20" s="3" t="s">
        <v>624</v>
      </c>
      <c r="B20" s="3" t="s">
        <v>112</v>
      </c>
      <c r="C20" s="3">
        <v>2006</v>
      </c>
      <c r="D20" s="3" t="s">
        <v>582</v>
      </c>
      <c r="E20" s="3" t="s">
        <v>625</v>
      </c>
      <c r="F20" s="3" t="s">
        <v>619</v>
      </c>
      <c r="G20" s="6">
        <v>30</v>
      </c>
      <c r="H20" s="3" t="s">
        <v>120</v>
      </c>
      <c r="I20" s="5">
        <v>17.600000000000001</v>
      </c>
      <c r="J20" s="5">
        <v>2.9</v>
      </c>
      <c r="K20" s="3"/>
      <c r="L20" s="3" t="s">
        <v>122</v>
      </c>
      <c r="M20" s="3" t="s">
        <v>123</v>
      </c>
      <c r="N20" s="5">
        <v>1.74</v>
      </c>
      <c r="O20" s="5">
        <v>0.06</v>
      </c>
      <c r="P20" s="5"/>
      <c r="Q20" s="5"/>
      <c r="R20" s="3" t="s">
        <v>626</v>
      </c>
      <c r="S20" s="3" t="s">
        <v>571</v>
      </c>
      <c r="T20" s="3"/>
      <c r="U20" s="3" t="s">
        <v>621</v>
      </c>
      <c r="V20" s="3" t="s">
        <v>116</v>
      </c>
      <c r="W20" s="3" t="s">
        <v>622</v>
      </c>
      <c r="X20" s="3" t="s">
        <v>623</v>
      </c>
    </row>
    <row r="21" spans="1:24" ht="46.05" customHeight="1">
      <c r="A21" s="3" t="s">
        <v>627</v>
      </c>
      <c r="B21" s="3" t="s">
        <v>112</v>
      </c>
      <c r="C21" s="3">
        <v>2006</v>
      </c>
      <c r="D21" s="3" t="s">
        <v>582</v>
      </c>
      <c r="E21" s="3" t="s">
        <v>628</v>
      </c>
      <c r="F21" s="3" t="s">
        <v>619</v>
      </c>
      <c r="G21" s="6">
        <v>30</v>
      </c>
      <c r="H21" s="3" t="s">
        <v>120</v>
      </c>
      <c r="I21" s="5">
        <v>17.600000000000001</v>
      </c>
      <c r="J21" s="5">
        <v>2.9</v>
      </c>
      <c r="K21" s="3"/>
      <c r="L21" s="3" t="s">
        <v>122</v>
      </c>
      <c r="M21" s="3" t="s">
        <v>123</v>
      </c>
      <c r="N21" s="5">
        <v>53.6</v>
      </c>
      <c r="O21" s="5">
        <v>4.0999999999999996</v>
      </c>
      <c r="P21" s="5"/>
      <c r="Q21" s="5"/>
      <c r="R21" s="3" t="s">
        <v>576</v>
      </c>
      <c r="S21" s="3" t="s">
        <v>571</v>
      </c>
      <c r="T21" s="3"/>
      <c r="U21" s="3" t="s">
        <v>621</v>
      </c>
      <c r="V21" s="3" t="s">
        <v>116</v>
      </c>
      <c r="W21" s="3" t="s">
        <v>622</v>
      </c>
      <c r="X21" s="3" t="s">
        <v>623</v>
      </c>
    </row>
    <row r="22" spans="1:24" ht="46.05" customHeight="1">
      <c r="A22" s="3" t="s">
        <v>629</v>
      </c>
      <c r="B22" s="3" t="s">
        <v>112</v>
      </c>
      <c r="C22" s="3">
        <v>2006</v>
      </c>
      <c r="D22" s="3" t="s">
        <v>582</v>
      </c>
      <c r="E22" s="3" t="s">
        <v>630</v>
      </c>
      <c r="F22" s="3" t="s">
        <v>619</v>
      </c>
      <c r="G22" s="6">
        <v>30</v>
      </c>
      <c r="H22" s="3" t="s">
        <v>120</v>
      </c>
      <c r="I22" s="5">
        <v>17.600000000000001</v>
      </c>
      <c r="J22" s="5">
        <v>2.9</v>
      </c>
      <c r="K22" s="3"/>
      <c r="L22" s="3" t="s">
        <v>122</v>
      </c>
      <c r="M22" s="3" t="s">
        <v>123</v>
      </c>
      <c r="N22" s="5">
        <v>12.2</v>
      </c>
      <c r="O22" s="5">
        <v>1.1000000000000001</v>
      </c>
      <c r="P22" s="5"/>
      <c r="Q22" s="5"/>
      <c r="R22" s="3" t="s">
        <v>631</v>
      </c>
      <c r="S22" s="3" t="s">
        <v>571</v>
      </c>
      <c r="T22" s="3"/>
      <c r="U22" s="3" t="s">
        <v>621</v>
      </c>
      <c r="V22" s="3" t="s">
        <v>116</v>
      </c>
      <c r="W22" s="3" t="s">
        <v>622</v>
      </c>
      <c r="X22" s="3" t="s">
        <v>623</v>
      </c>
    </row>
    <row r="23" spans="1:24" ht="46.05" customHeight="1">
      <c r="A23" s="3" t="s">
        <v>632</v>
      </c>
      <c r="B23" s="3" t="s">
        <v>112</v>
      </c>
      <c r="C23" s="3">
        <v>2006</v>
      </c>
      <c r="D23" s="3" t="s">
        <v>582</v>
      </c>
      <c r="E23" s="3" t="s">
        <v>633</v>
      </c>
      <c r="F23" s="3" t="s">
        <v>619</v>
      </c>
      <c r="G23" s="6">
        <v>30</v>
      </c>
      <c r="H23" s="3" t="s">
        <v>120</v>
      </c>
      <c r="I23" s="5">
        <v>17.600000000000001</v>
      </c>
      <c r="J23" s="5">
        <v>2.9</v>
      </c>
      <c r="K23" s="3"/>
      <c r="L23" s="3" t="s">
        <v>122</v>
      </c>
      <c r="M23" s="3" t="s">
        <v>123</v>
      </c>
      <c r="N23" s="5">
        <v>42.5</v>
      </c>
      <c r="O23" s="5">
        <v>3.4</v>
      </c>
      <c r="P23" s="5"/>
      <c r="Q23" s="5"/>
      <c r="R23" s="3" t="s">
        <v>576</v>
      </c>
      <c r="S23" s="3" t="s">
        <v>571</v>
      </c>
      <c r="T23" s="3"/>
      <c r="U23" s="3" t="s">
        <v>621</v>
      </c>
      <c r="V23" s="3" t="s">
        <v>116</v>
      </c>
      <c r="W23" s="3" t="s">
        <v>622</v>
      </c>
      <c r="X23" s="3" t="s">
        <v>623</v>
      </c>
    </row>
    <row r="24" spans="1:24" ht="46.05" customHeight="1">
      <c r="A24" s="3" t="s">
        <v>634</v>
      </c>
      <c r="B24" s="3" t="s">
        <v>112</v>
      </c>
      <c r="C24" s="3">
        <v>2006</v>
      </c>
      <c r="D24" s="3" t="s">
        <v>582</v>
      </c>
      <c r="E24" s="3" t="s">
        <v>635</v>
      </c>
      <c r="F24" s="3" t="s">
        <v>619</v>
      </c>
      <c r="G24" s="6">
        <v>30</v>
      </c>
      <c r="H24" s="3" t="s">
        <v>120</v>
      </c>
      <c r="I24" s="5">
        <v>17.600000000000001</v>
      </c>
      <c r="J24" s="5">
        <v>2.9</v>
      </c>
      <c r="K24" s="3"/>
      <c r="L24" s="3" t="s">
        <v>122</v>
      </c>
      <c r="M24" s="3" t="s">
        <v>123</v>
      </c>
      <c r="N24" s="5">
        <v>1.8</v>
      </c>
      <c r="O24" s="5">
        <v>0.5</v>
      </c>
      <c r="P24" s="5"/>
      <c r="Q24" s="5"/>
      <c r="R24" s="3" t="s">
        <v>636</v>
      </c>
      <c r="S24" s="3" t="s">
        <v>571</v>
      </c>
      <c r="T24" s="3"/>
      <c r="U24" s="3" t="s">
        <v>621</v>
      </c>
      <c r="V24" s="3" t="s">
        <v>116</v>
      </c>
      <c r="W24" s="3" t="s">
        <v>622</v>
      </c>
      <c r="X24" s="3" t="s">
        <v>623</v>
      </c>
    </row>
    <row r="25" spans="1:24" ht="46.05" customHeight="1">
      <c r="A25" s="3" t="s">
        <v>637</v>
      </c>
      <c r="B25" s="3" t="s">
        <v>112</v>
      </c>
      <c r="C25" s="3">
        <v>2006</v>
      </c>
      <c r="D25" s="3" t="s">
        <v>582</v>
      </c>
      <c r="E25" s="3" t="s">
        <v>638</v>
      </c>
      <c r="F25" s="3" t="s">
        <v>619</v>
      </c>
      <c r="G25" s="6">
        <v>30</v>
      </c>
      <c r="H25" s="3" t="s">
        <v>120</v>
      </c>
      <c r="I25" s="5">
        <v>17.600000000000001</v>
      </c>
      <c r="J25" s="5">
        <v>2.9</v>
      </c>
      <c r="K25" s="3"/>
      <c r="L25" s="3" t="s">
        <v>122</v>
      </c>
      <c r="M25" s="3" t="s">
        <v>123</v>
      </c>
      <c r="N25" s="5">
        <v>3.2</v>
      </c>
      <c r="O25" s="5">
        <v>0.6</v>
      </c>
      <c r="P25" s="5"/>
      <c r="Q25" s="5"/>
      <c r="R25" s="3" t="s">
        <v>636</v>
      </c>
      <c r="S25" s="3" t="s">
        <v>571</v>
      </c>
      <c r="T25" s="3"/>
      <c r="U25" s="3" t="s">
        <v>621</v>
      </c>
      <c r="V25" s="3" t="s">
        <v>116</v>
      </c>
      <c r="W25" s="3" t="s">
        <v>622</v>
      </c>
      <c r="X25" s="3" t="s">
        <v>623</v>
      </c>
    </row>
    <row r="26" spans="1:24" ht="46.05" customHeight="1">
      <c r="A26" s="3" t="s">
        <v>639</v>
      </c>
      <c r="B26" s="3" t="s">
        <v>112</v>
      </c>
      <c r="C26" s="3">
        <v>2006</v>
      </c>
      <c r="D26" s="3" t="s">
        <v>582</v>
      </c>
      <c r="E26" s="3" t="s">
        <v>640</v>
      </c>
      <c r="F26" s="3" t="s">
        <v>619</v>
      </c>
      <c r="G26" s="6">
        <v>30</v>
      </c>
      <c r="H26" s="3" t="s">
        <v>120</v>
      </c>
      <c r="I26" s="5">
        <v>17.600000000000001</v>
      </c>
      <c r="J26" s="5">
        <v>2.9</v>
      </c>
      <c r="K26" s="3"/>
      <c r="L26" s="3" t="s">
        <v>122</v>
      </c>
      <c r="M26" s="3" t="s">
        <v>123</v>
      </c>
      <c r="N26" s="5">
        <v>4</v>
      </c>
      <c r="O26" s="5">
        <v>0.8</v>
      </c>
      <c r="P26" s="5"/>
      <c r="Q26" s="5"/>
      <c r="R26" s="3" t="s">
        <v>636</v>
      </c>
      <c r="S26" s="3" t="s">
        <v>571</v>
      </c>
      <c r="T26" s="3"/>
      <c r="U26" s="3" t="s">
        <v>621</v>
      </c>
      <c r="V26" s="3" t="s">
        <v>116</v>
      </c>
      <c r="W26" s="3" t="s">
        <v>622</v>
      </c>
      <c r="X26" s="3" t="s">
        <v>623</v>
      </c>
    </row>
    <row r="27" spans="1:24" ht="46.05" customHeight="1">
      <c r="A27" s="3" t="s">
        <v>641</v>
      </c>
      <c r="B27" s="3" t="s">
        <v>112</v>
      </c>
      <c r="C27" s="3">
        <v>2006</v>
      </c>
      <c r="D27" s="3" t="s">
        <v>24</v>
      </c>
      <c r="E27" s="3" t="s">
        <v>642</v>
      </c>
      <c r="F27" s="3" t="s">
        <v>619</v>
      </c>
      <c r="G27" s="6">
        <v>30</v>
      </c>
      <c r="H27" s="3" t="s">
        <v>120</v>
      </c>
      <c r="I27" s="5">
        <v>17.600000000000001</v>
      </c>
      <c r="J27" s="5">
        <v>2.9</v>
      </c>
      <c r="K27" s="3"/>
      <c r="L27" s="3" t="s">
        <v>122</v>
      </c>
      <c r="M27" s="3" t="s">
        <v>123</v>
      </c>
      <c r="N27" s="5">
        <v>125.7</v>
      </c>
      <c r="O27" s="5">
        <v>6.4</v>
      </c>
      <c r="P27" s="5"/>
      <c r="Q27" s="5"/>
      <c r="R27" s="3" t="s">
        <v>576</v>
      </c>
      <c r="S27" s="3" t="s">
        <v>571</v>
      </c>
      <c r="T27" s="3"/>
      <c r="U27" s="3" t="s">
        <v>621</v>
      </c>
      <c r="V27" s="3" t="s">
        <v>116</v>
      </c>
      <c r="W27" s="3" t="s">
        <v>622</v>
      </c>
      <c r="X27" s="3" t="s">
        <v>623</v>
      </c>
    </row>
    <row r="28" spans="1:24" ht="46.05" customHeight="1">
      <c r="A28" s="3" t="s">
        <v>643</v>
      </c>
      <c r="B28" s="3" t="s">
        <v>112</v>
      </c>
      <c r="C28" s="3">
        <v>2006</v>
      </c>
      <c r="D28" s="3" t="s">
        <v>24</v>
      </c>
      <c r="E28" s="3" t="s">
        <v>644</v>
      </c>
      <c r="F28" s="3" t="s">
        <v>619</v>
      </c>
      <c r="G28" s="6">
        <v>30</v>
      </c>
      <c r="H28" s="3" t="s">
        <v>120</v>
      </c>
      <c r="I28" s="5">
        <v>17.600000000000001</v>
      </c>
      <c r="J28" s="5">
        <v>2.9</v>
      </c>
      <c r="K28" s="3"/>
      <c r="L28" s="3" t="s">
        <v>122</v>
      </c>
      <c r="M28" s="3" t="s">
        <v>123</v>
      </c>
      <c r="N28" s="5">
        <v>45.6</v>
      </c>
      <c r="O28" s="5">
        <v>6.5</v>
      </c>
      <c r="P28" s="5"/>
      <c r="Q28" s="5"/>
      <c r="R28" s="3" t="s">
        <v>576</v>
      </c>
      <c r="S28" s="3" t="s">
        <v>571</v>
      </c>
      <c r="T28" s="3"/>
      <c r="U28" s="3" t="s">
        <v>621</v>
      </c>
      <c r="V28" s="3" t="s">
        <v>116</v>
      </c>
      <c r="W28" s="3" t="s">
        <v>622</v>
      </c>
      <c r="X28" s="3" t="s">
        <v>623</v>
      </c>
    </row>
    <row r="29" spans="1:24" ht="46.05" customHeight="1">
      <c r="A29" s="3" t="s">
        <v>645</v>
      </c>
      <c r="B29" s="3" t="s">
        <v>112</v>
      </c>
      <c r="C29" s="3">
        <v>2006</v>
      </c>
      <c r="D29" s="3" t="s">
        <v>24</v>
      </c>
      <c r="E29" s="3" t="s">
        <v>646</v>
      </c>
      <c r="F29" s="3" t="s">
        <v>619</v>
      </c>
      <c r="G29" s="6">
        <v>30</v>
      </c>
      <c r="H29" s="3" t="s">
        <v>120</v>
      </c>
      <c r="I29" s="5">
        <v>17.600000000000001</v>
      </c>
      <c r="J29" s="5">
        <v>2.9</v>
      </c>
      <c r="K29" s="3"/>
      <c r="L29" s="3" t="s">
        <v>122</v>
      </c>
      <c r="M29" s="3" t="s">
        <v>123</v>
      </c>
      <c r="N29" s="5">
        <v>44.9</v>
      </c>
      <c r="O29" s="5">
        <v>4.5999999999999996</v>
      </c>
      <c r="P29" s="5"/>
      <c r="Q29" s="5"/>
      <c r="R29" s="3" t="s">
        <v>576</v>
      </c>
      <c r="S29" s="3" t="s">
        <v>571</v>
      </c>
      <c r="T29" s="3"/>
      <c r="U29" s="3" t="s">
        <v>621</v>
      </c>
      <c r="V29" s="3" t="s">
        <v>116</v>
      </c>
      <c r="W29" s="3" t="s">
        <v>622</v>
      </c>
      <c r="X29" s="3" t="s">
        <v>623</v>
      </c>
    </row>
    <row r="30" spans="1:24" ht="46.05" customHeight="1">
      <c r="A30" s="3" t="s">
        <v>647</v>
      </c>
      <c r="B30" s="3" t="s">
        <v>112</v>
      </c>
      <c r="C30" s="3">
        <v>2006</v>
      </c>
      <c r="D30" s="3" t="s">
        <v>24</v>
      </c>
      <c r="E30" s="3" t="s">
        <v>648</v>
      </c>
      <c r="F30" s="3" t="s">
        <v>619</v>
      </c>
      <c r="G30" s="6">
        <v>30</v>
      </c>
      <c r="H30" s="3" t="s">
        <v>120</v>
      </c>
      <c r="I30" s="5">
        <v>17.600000000000001</v>
      </c>
      <c r="J30" s="5">
        <v>2.9</v>
      </c>
      <c r="K30" s="3"/>
      <c r="L30" s="3" t="s">
        <v>122</v>
      </c>
      <c r="M30" s="3" t="s">
        <v>123</v>
      </c>
      <c r="N30" s="5">
        <v>4.9000000000000004</v>
      </c>
      <c r="O30" s="5">
        <v>0.7</v>
      </c>
      <c r="P30" s="5"/>
      <c r="Q30" s="5"/>
      <c r="R30" s="3" t="s">
        <v>649</v>
      </c>
      <c r="S30" s="3" t="s">
        <v>571</v>
      </c>
      <c r="T30" s="3"/>
      <c r="U30" s="3" t="s">
        <v>621</v>
      </c>
      <c r="V30" s="3" t="s">
        <v>116</v>
      </c>
      <c r="W30" s="3" t="s">
        <v>622</v>
      </c>
      <c r="X30" s="3" t="s">
        <v>623</v>
      </c>
    </row>
    <row r="31" spans="1:24" ht="46.05" customHeight="1">
      <c r="A31" s="3" t="s">
        <v>650</v>
      </c>
      <c r="B31" s="3" t="s">
        <v>112</v>
      </c>
      <c r="C31" s="3">
        <v>2006</v>
      </c>
      <c r="D31" s="3" t="s">
        <v>24</v>
      </c>
      <c r="E31" s="3" t="s">
        <v>579</v>
      </c>
      <c r="F31" s="3" t="s">
        <v>619</v>
      </c>
      <c r="G31" s="6">
        <v>30</v>
      </c>
      <c r="H31" s="3" t="s">
        <v>120</v>
      </c>
      <c r="I31" s="5">
        <v>17.600000000000001</v>
      </c>
      <c r="J31" s="5">
        <v>2.9</v>
      </c>
      <c r="K31" s="3"/>
      <c r="L31" s="3" t="s">
        <v>122</v>
      </c>
      <c r="M31" s="3" t="s">
        <v>123</v>
      </c>
      <c r="N31" s="5">
        <v>54.6</v>
      </c>
      <c r="O31" s="5">
        <v>4.7</v>
      </c>
      <c r="P31" s="5"/>
      <c r="Q31" s="5"/>
      <c r="R31" s="3" t="s">
        <v>560</v>
      </c>
      <c r="S31" s="3" t="s">
        <v>571</v>
      </c>
      <c r="T31" s="3"/>
      <c r="U31" s="3" t="s">
        <v>621</v>
      </c>
      <c r="V31" s="3" t="s">
        <v>116</v>
      </c>
      <c r="W31" s="3" t="s">
        <v>622</v>
      </c>
      <c r="X31" s="3" t="s">
        <v>623</v>
      </c>
    </row>
    <row r="32" spans="1:24" ht="46.05" customHeight="1">
      <c r="A32" s="3" t="s">
        <v>651</v>
      </c>
      <c r="B32" s="3" t="s">
        <v>112</v>
      </c>
      <c r="C32" s="3">
        <v>2006</v>
      </c>
      <c r="D32" s="3" t="s">
        <v>24</v>
      </c>
      <c r="E32" s="3" t="s">
        <v>652</v>
      </c>
      <c r="F32" s="3" t="s">
        <v>619</v>
      </c>
      <c r="G32" s="6">
        <v>30</v>
      </c>
      <c r="H32" s="3" t="s">
        <v>120</v>
      </c>
      <c r="I32" s="5">
        <v>17.600000000000001</v>
      </c>
      <c r="J32" s="5">
        <v>2.9</v>
      </c>
      <c r="K32" s="3"/>
      <c r="L32" s="3" t="s">
        <v>122</v>
      </c>
      <c r="M32" s="3" t="s">
        <v>123</v>
      </c>
      <c r="N32" s="5">
        <v>186</v>
      </c>
      <c r="O32" s="5">
        <v>7</v>
      </c>
      <c r="P32" s="5"/>
      <c r="Q32" s="5"/>
      <c r="R32" s="3" t="s">
        <v>550</v>
      </c>
      <c r="S32" s="3" t="s">
        <v>571</v>
      </c>
      <c r="T32" s="3"/>
      <c r="U32" s="3" t="s">
        <v>621</v>
      </c>
      <c r="V32" s="3" t="s">
        <v>116</v>
      </c>
      <c r="W32" s="3" t="s">
        <v>622</v>
      </c>
      <c r="X32" s="3" t="s">
        <v>623</v>
      </c>
    </row>
    <row r="33" spans="1:24" ht="46.05" customHeight="1">
      <c r="A33" s="3" t="s">
        <v>653</v>
      </c>
      <c r="B33" s="3" t="s">
        <v>112</v>
      </c>
      <c r="C33" s="3">
        <v>2006</v>
      </c>
      <c r="D33" s="3" t="s">
        <v>24</v>
      </c>
      <c r="E33" s="3" t="s">
        <v>654</v>
      </c>
      <c r="F33" s="3" t="s">
        <v>619</v>
      </c>
      <c r="G33" s="6">
        <v>30</v>
      </c>
      <c r="H33" s="3" t="s">
        <v>120</v>
      </c>
      <c r="I33" s="5">
        <v>17.600000000000001</v>
      </c>
      <c r="J33" s="5">
        <v>2.9</v>
      </c>
      <c r="K33" s="3"/>
      <c r="L33" s="3" t="s">
        <v>122</v>
      </c>
      <c r="M33" s="3" t="s">
        <v>123</v>
      </c>
      <c r="N33" s="5">
        <v>140</v>
      </c>
      <c r="O33" s="5">
        <v>10</v>
      </c>
      <c r="P33" s="5"/>
      <c r="Q33" s="5"/>
      <c r="R33" s="3" t="s">
        <v>550</v>
      </c>
      <c r="S33" s="3" t="s">
        <v>571</v>
      </c>
      <c r="T33" s="3"/>
      <c r="U33" s="3" t="s">
        <v>621</v>
      </c>
      <c r="V33" s="3" t="s">
        <v>116</v>
      </c>
      <c r="W33" s="3" t="s">
        <v>622</v>
      </c>
      <c r="X33" s="3" t="s">
        <v>623</v>
      </c>
    </row>
    <row r="34" spans="1:24" ht="46.05" customHeight="1">
      <c r="A34" s="3" t="s">
        <v>655</v>
      </c>
      <c r="B34" s="3" t="s">
        <v>112</v>
      </c>
      <c r="C34" s="3">
        <v>2006</v>
      </c>
      <c r="D34" s="3" t="s">
        <v>24</v>
      </c>
      <c r="E34" s="3" t="s">
        <v>656</v>
      </c>
      <c r="F34" s="3" t="s">
        <v>619</v>
      </c>
      <c r="G34" s="6">
        <v>30</v>
      </c>
      <c r="H34" s="3" t="s">
        <v>120</v>
      </c>
      <c r="I34" s="5">
        <v>17.600000000000001</v>
      </c>
      <c r="J34" s="5">
        <v>2.9</v>
      </c>
      <c r="K34" s="3"/>
      <c r="L34" s="3" t="s">
        <v>122</v>
      </c>
      <c r="M34" s="3" t="s">
        <v>123</v>
      </c>
      <c r="N34" s="5">
        <v>115</v>
      </c>
      <c r="O34" s="5">
        <v>8</v>
      </c>
      <c r="P34" s="5"/>
      <c r="Q34" s="5"/>
      <c r="R34" s="3" t="s">
        <v>550</v>
      </c>
      <c r="S34" s="3" t="s">
        <v>571</v>
      </c>
      <c r="T34" s="3"/>
      <c r="U34" s="3" t="s">
        <v>621</v>
      </c>
      <c r="V34" s="3" t="s">
        <v>116</v>
      </c>
      <c r="W34" s="3" t="s">
        <v>622</v>
      </c>
      <c r="X34" s="3" t="s">
        <v>623</v>
      </c>
    </row>
    <row r="35" spans="1:24" ht="46.05" customHeight="1">
      <c r="A35" s="3" t="s">
        <v>657</v>
      </c>
      <c r="B35" s="3" t="s">
        <v>112</v>
      </c>
      <c r="C35" s="3">
        <v>2006</v>
      </c>
      <c r="D35" s="3" t="s">
        <v>24</v>
      </c>
      <c r="E35" s="3" t="s">
        <v>658</v>
      </c>
      <c r="F35" s="3" t="s">
        <v>619</v>
      </c>
      <c r="G35" s="6">
        <v>30</v>
      </c>
      <c r="H35" s="3" t="s">
        <v>120</v>
      </c>
      <c r="I35" s="5">
        <v>17.600000000000001</v>
      </c>
      <c r="J35" s="5">
        <v>2.9</v>
      </c>
      <c r="K35" s="3"/>
      <c r="L35" s="3" t="s">
        <v>122</v>
      </c>
      <c r="M35" s="3" t="s">
        <v>123</v>
      </c>
      <c r="N35" s="5">
        <v>104</v>
      </c>
      <c r="O35" s="5">
        <v>6</v>
      </c>
      <c r="P35" s="5"/>
      <c r="Q35" s="5"/>
      <c r="R35" s="3" t="s">
        <v>550</v>
      </c>
      <c r="S35" s="3" t="s">
        <v>571</v>
      </c>
      <c r="T35" s="3"/>
      <c r="U35" s="3" t="s">
        <v>621</v>
      </c>
      <c r="V35" s="3" t="s">
        <v>116</v>
      </c>
      <c r="W35" s="3" t="s">
        <v>622</v>
      </c>
      <c r="X35" s="3" t="s">
        <v>623</v>
      </c>
    </row>
    <row r="36" spans="1:24" ht="46.05" customHeight="1">
      <c r="A36" s="3" t="s">
        <v>659</v>
      </c>
      <c r="B36" s="3" t="s">
        <v>112</v>
      </c>
      <c r="C36" s="3">
        <v>2006</v>
      </c>
      <c r="D36" s="3" t="s">
        <v>617</v>
      </c>
      <c r="E36" s="3" t="s">
        <v>618</v>
      </c>
      <c r="F36" s="3" t="s">
        <v>660</v>
      </c>
      <c r="G36" s="6">
        <v>30</v>
      </c>
      <c r="H36" s="3" t="s">
        <v>120</v>
      </c>
      <c r="I36" s="5">
        <v>22.1</v>
      </c>
      <c r="J36" s="5">
        <v>3.1</v>
      </c>
      <c r="K36" s="3"/>
      <c r="L36" s="3" t="s">
        <v>122</v>
      </c>
      <c r="M36" s="3" t="s">
        <v>123</v>
      </c>
      <c r="N36" s="5">
        <v>22.1</v>
      </c>
      <c r="O36" s="5">
        <v>3.1</v>
      </c>
      <c r="P36" s="5"/>
      <c r="Q36" s="5"/>
      <c r="R36" s="3" t="s">
        <v>620</v>
      </c>
      <c r="S36" s="3" t="s">
        <v>571</v>
      </c>
      <c r="T36" s="3"/>
      <c r="U36" s="3" t="s">
        <v>621</v>
      </c>
      <c r="V36" s="3" t="s">
        <v>116</v>
      </c>
      <c r="W36" s="3" t="s">
        <v>622</v>
      </c>
      <c r="X36" s="3" t="s">
        <v>623</v>
      </c>
    </row>
    <row r="37" spans="1:24" ht="46.05" customHeight="1">
      <c r="A37" s="3" t="s">
        <v>661</v>
      </c>
      <c r="B37" s="3" t="s">
        <v>112</v>
      </c>
      <c r="C37" s="3">
        <v>2006</v>
      </c>
      <c r="D37" s="3" t="s">
        <v>582</v>
      </c>
      <c r="E37" s="3" t="s">
        <v>625</v>
      </c>
      <c r="F37" s="3" t="s">
        <v>660</v>
      </c>
      <c r="G37" s="6">
        <v>30</v>
      </c>
      <c r="H37" s="3" t="s">
        <v>120</v>
      </c>
      <c r="I37" s="5">
        <v>22.1</v>
      </c>
      <c r="J37" s="5">
        <v>3.1</v>
      </c>
      <c r="K37" s="3"/>
      <c r="L37" s="3" t="s">
        <v>122</v>
      </c>
      <c r="M37" s="3" t="s">
        <v>123</v>
      </c>
      <c r="N37" s="5">
        <v>1.79</v>
      </c>
      <c r="O37" s="5">
        <v>0.08</v>
      </c>
      <c r="P37" s="5"/>
      <c r="Q37" s="5"/>
      <c r="R37" s="3" t="s">
        <v>626</v>
      </c>
      <c r="S37" s="3" t="s">
        <v>571</v>
      </c>
      <c r="T37" s="3"/>
      <c r="U37" s="3" t="s">
        <v>621</v>
      </c>
      <c r="V37" s="3" t="s">
        <v>116</v>
      </c>
      <c r="W37" s="3" t="s">
        <v>622</v>
      </c>
      <c r="X37" s="3" t="s">
        <v>623</v>
      </c>
    </row>
    <row r="38" spans="1:24" ht="46.05" customHeight="1">
      <c r="A38" s="3" t="s">
        <v>662</v>
      </c>
      <c r="B38" s="3" t="s">
        <v>112</v>
      </c>
      <c r="C38" s="3">
        <v>2006</v>
      </c>
      <c r="D38" s="3" t="s">
        <v>582</v>
      </c>
      <c r="E38" s="3" t="s">
        <v>628</v>
      </c>
      <c r="F38" s="3" t="s">
        <v>660</v>
      </c>
      <c r="G38" s="6">
        <v>30</v>
      </c>
      <c r="H38" s="3" t="s">
        <v>120</v>
      </c>
      <c r="I38" s="5">
        <v>22.1</v>
      </c>
      <c r="J38" s="5">
        <v>3.1</v>
      </c>
      <c r="K38" s="3"/>
      <c r="L38" s="3" t="s">
        <v>122</v>
      </c>
      <c r="M38" s="3" t="s">
        <v>123</v>
      </c>
      <c r="N38" s="5">
        <v>76.7</v>
      </c>
      <c r="O38" s="5">
        <v>10.9</v>
      </c>
      <c r="P38" s="5"/>
      <c r="Q38" s="5"/>
      <c r="R38" s="3" t="s">
        <v>576</v>
      </c>
      <c r="S38" s="3" t="s">
        <v>571</v>
      </c>
      <c r="T38" s="3"/>
      <c r="U38" s="3" t="s">
        <v>621</v>
      </c>
      <c r="V38" s="3" t="s">
        <v>116</v>
      </c>
      <c r="W38" s="3" t="s">
        <v>622</v>
      </c>
      <c r="X38" s="3" t="s">
        <v>623</v>
      </c>
    </row>
    <row r="39" spans="1:24" ht="46.05" customHeight="1">
      <c r="A39" s="3" t="s">
        <v>663</v>
      </c>
      <c r="B39" s="3" t="s">
        <v>112</v>
      </c>
      <c r="C39" s="3">
        <v>2006</v>
      </c>
      <c r="D39" s="3" t="s">
        <v>582</v>
      </c>
      <c r="E39" s="3" t="s">
        <v>630</v>
      </c>
      <c r="F39" s="3" t="s">
        <v>660</v>
      </c>
      <c r="G39" s="6">
        <v>30</v>
      </c>
      <c r="H39" s="3" t="s">
        <v>120</v>
      </c>
      <c r="I39" s="5">
        <v>22.1</v>
      </c>
      <c r="J39" s="5">
        <v>3.1</v>
      </c>
      <c r="K39" s="3"/>
      <c r="L39" s="3" t="s">
        <v>122</v>
      </c>
      <c r="M39" s="3" t="s">
        <v>123</v>
      </c>
      <c r="N39" s="5">
        <v>16.399999999999999</v>
      </c>
      <c r="O39" s="5">
        <v>3.8</v>
      </c>
      <c r="P39" s="5"/>
      <c r="Q39" s="5"/>
      <c r="R39" s="3" t="s">
        <v>631</v>
      </c>
      <c r="S39" s="3" t="s">
        <v>571</v>
      </c>
      <c r="T39" s="3"/>
      <c r="U39" s="3" t="s">
        <v>621</v>
      </c>
      <c r="V39" s="3" t="s">
        <v>116</v>
      </c>
      <c r="W39" s="3" t="s">
        <v>622</v>
      </c>
      <c r="X39" s="3" t="s">
        <v>623</v>
      </c>
    </row>
    <row r="40" spans="1:24" ht="46.05" customHeight="1">
      <c r="A40" s="3" t="s">
        <v>664</v>
      </c>
      <c r="B40" s="3" t="s">
        <v>112</v>
      </c>
      <c r="C40" s="3">
        <v>2006</v>
      </c>
      <c r="D40" s="3" t="s">
        <v>582</v>
      </c>
      <c r="E40" s="3" t="s">
        <v>633</v>
      </c>
      <c r="F40" s="3" t="s">
        <v>660</v>
      </c>
      <c r="G40" s="6">
        <v>30</v>
      </c>
      <c r="H40" s="3" t="s">
        <v>120</v>
      </c>
      <c r="I40" s="5">
        <v>22.1</v>
      </c>
      <c r="J40" s="5">
        <v>3.1</v>
      </c>
      <c r="K40" s="3"/>
      <c r="L40" s="3" t="s">
        <v>122</v>
      </c>
      <c r="M40" s="3" t="s">
        <v>123</v>
      </c>
      <c r="N40" s="5">
        <v>53.1</v>
      </c>
      <c r="O40" s="5">
        <v>7.6</v>
      </c>
      <c r="P40" s="5"/>
      <c r="Q40" s="5"/>
      <c r="R40" s="3" t="s">
        <v>576</v>
      </c>
      <c r="S40" s="3" t="s">
        <v>571</v>
      </c>
      <c r="T40" s="3"/>
      <c r="U40" s="3" t="s">
        <v>621</v>
      </c>
      <c r="V40" s="3" t="s">
        <v>116</v>
      </c>
      <c r="W40" s="3" t="s">
        <v>622</v>
      </c>
      <c r="X40" s="3" t="s">
        <v>623</v>
      </c>
    </row>
    <row r="41" spans="1:24" ht="46.05" customHeight="1">
      <c r="A41" s="3" t="s">
        <v>665</v>
      </c>
      <c r="B41" s="3" t="s">
        <v>112</v>
      </c>
      <c r="C41" s="3">
        <v>2006</v>
      </c>
      <c r="D41" s="3" t="s">
        <v>582</v>
      </c>
      <c r="E41" s="3" t="s">
        <v>635</v>
      </c>
      <c r="F41" s="3" t="s">
        <v>660</v>
      </c>
      <c r="G41" s="6">
        <v>30</v>
      </c>
      <c r="H41" s="3" t="s">
        <v>120</v>
      </c>
      <c r="I41" s="5">
        <v>22.1</v>
      </c>
      <c r="J41" s="5">
        <v>3.1</v>
      </c>
      <c r="K41" s="3"/>
      <c r="L41" s="3" t="s">
        <v>122</v>
      </c>
      <c r="M41" s="3" t="s">
        <v>123</v>
      </c>
      <c r="N41" s="5">
        <v>2.2999999999999998</v>
      </c>
      <c r="O41" s="5">
        <v>0.6</v>
      </c>
      <c r="P41" s="5"/>
      <c r="Q41" s="5"/>
      <c r="R41" s="3" t="s">
        <v>636</v>
      </c>
      <c r="S41" s="3" t="s">
        <v>571</v>
      </c>
      <c r="T41" s="3"/>
      <c r="U41" s="3" t="s">
        <v>621</v>
      </c>
      <c r="V41" s="3" t="s">
        <v>116</v>
      </c>
      <c r="W41" s="3" t="s">
        <v>622</v>
      </c>
      <c r="X41" s="3" t="s">
        <v>623</v>
      </c>
    </row>
    <row r="42" spans="1:24" ht="46.05" customHeight="1">
      <c r="A42" s="3" t="s">
        <v>666</v>
      </c>
      <c r="B42" s="3" t="s">
        <v>112</v>
      </c>
      <c r="C42" s="3">
        <v>2006</v>
      </c>
      <c r="D42" s="3" t="s">
        <v>582</v>
      </c>
      <c r="E42" s="3" t="s">
        <v>638</v>
      </c>
      <c r="F42" s="3" t="s">
        <v>660</v>
      </c>
      <c r="G42" s="6">
        <v>30</v>
      </c>
      <c r="H42" s="3" t="s">
        <v>120</v>
      </c>
      <c r="I42" s="5">
        <v>22.1</v>
      </c>
      <c r="J42" s="5">
        <v>3.1</v>
      </c>
      <c r="K42" s="3"/>
      <c r="L42" s="3" t="s">
        <v>122</v>
      </c>
      <c r="M42" s="3" t="s">
        <v>123</v>
      </c>
      <c r="N42" s="5">
        <v>4.9000000000000004</v>
      </c>
      <c r="O42" s="5">
        <v>0.7</v>
      </c>
      <c r="P42" s="5"/>
      <c r="Q42" s="5"/>
      <c r="R42" s="3" t="s">
        <v>636</v>
      </c>
      <c r="S42" s="3" t="s">
        <v>571</v>
      </c>
      <c r="T42" s="3"/>
      <c r="U42" s="3" t="s">
        <v>621</v>
      </c>
      <c r="V42" s="3" t="s">
        <v>116</v>
      </c>
      <c r="W42" s="3" t="s">
        <v>622</v>
      </c>
      <c r="X42" s="3" t="s">
        <v>623</v>
      </c>
    </row>
    <row r="43" spans="1:24" ht="46.05" customHeight="1">
      <c r="A43" s="3" t="s">
        <v>667</v>
      </c>
      <c r="B43" s="3" t="s">
        <v>112</v>
      </c>
      <c r="C43" s="3">
        <v>2006</v>
      </c>
      <c r="D43" s="3" t="s">
        <v>582</v>
      </c>
      <c r="E43" s="3" t="s">
        <v>640</v>
      </c>
      <c r="F43" s="3" t="s">
        <v>660</v>
      </c>
      <c r="G43" s="6">
        <v>30</v>
      </c>
      <c r="H43" s="3" t="s">
        <v>120</v>
      </c>
      <c r="I43" s="5">
        <v>22.1</v>
      </c>
      <c r="J43" s="5">
        <v>3.1</v>
      </c>
      <c r="K43" s="3"/>
      <c r="L43" s="3" t="s">
        <v>122</v>
      </c>
      <c r="M43" s="3" t="s">
        <v>123</v>
      </c>
      <c r="N43" s="5">
        <v>2.2999999999999998</v>
      </c>
      <c r="O43" s="5">
        <v>0.8</v>
      </c>
      <c r="P43" s="5"/>
      <c r="Q43" s="5"/>
      <c r="R43" s="3" t="s">
        <v>636</v>
      </c>
      <c r="S43" s="3" t="s">
        <v>571</v>
      </c>
      <c r="T43" s="3"/>
      <c r="U43" s="3" t="s">
        <v>621</v>
      </c>
      <c r="V43" s="3" t="s">
        <v>116</v>
      </c>
      <c r="W43" s="3" t="s">
        <v>622</v>
      </c>
      <c r="X43" s="3" t="s">
        <v>623</v>
      </c>
    </row>
    <row r="44" spans="1:24" ht="46.05" customHeight="1">
      <c r="A44" s="3" t="s">
        <v>668</v>
      </c>
      <c r="B44" s="3" t="s">
        <v>112</v>
      </c>
      <c r="C44" s="3">
        <v>2006</v>
      </c>
      <c r="D44" s="3" t="s">
        <v>24</v>
      </c>
      <c r="E44" s="3" t="s">
        <v>642</v>
      </c>
      <c r="F44" s="3" t="s">
        <v>660</v>
      </c>
      <c r="G44" s="6">
        <v>30</v>
      </c>
      <c r="H44" s="3" t="s">
        <v>120</v>
      </c>
      <c r="I44" s="5">
        <v>22.1</v>
      </c>
      <c r="J44" s="5">
        <v>3.1</v>
      </c>
      <c r="K44" s="3"/>
      <c r="L44" s="3" t="s">
        <v>122</v>
      </c>
      <c r="M44" s="3" t="s">
        <v>123</v>
      </c>
      <c r="N44" s="5">
        <v>156.5</v>
      </c>
      <c r="O44" s="5">
        <v>8.6</v>
      </c>
      <c r="P44" s="5"/>
      <c r="Q44" s="5"/>
      <c r="R44" s="3" t="s">
        <v>576</v>
      </c>
      <c r="S44" s="3" t="s">
        <v>571</v>
      </c>
      <c r="T44" s="3"/>
      <c r="U44" s="3" t="s">
        <v>621</v>
      </c>
      <c r="V44" s="3" t="s">
        <v>116</v>
      </c>
      <c r="W44" s="3" t="s">
        <v>622</v>
      </c>
      <c r="X44" s="3" t="s">
        <v>623</v>
      </c>
    </row>
    <row r="45" spans="1:24" ht="46.05" customHeight="1">
      <c r="A45" s="3" t="s">
        <v>669</v>
      </c>
      <c r="B45" s="3" t="s">
        <v>112</v>
      </c>
      <c r="C45" s="3">
        <v>2006</v>
      </c>
      <c r="D45" s="3" t="s">
        <v>24</v>
      </c>
      <c r="E45" s="3" t="s">
        <v>644</v>
      </c>
      <c r="F45" s="3" t="s">
        <v>660</v>
      </c>
      <c r="G45" s="6">
        <v>30</v>
      </c>
      <c r="H45" s="3" t="s">
        <v>120</v>
      </c>
      <c r="I45" s="5">
        <v>22.1</v>
      </c>
      <c r="J45" s="5">
        <v>3.1</v>
      </c>
      <c r="K45" s="3"/>
      <c r="L45" s="3" t="s">
        <v>122</v>
      </c>
      <c r="M45" s="3" t="s">
        <v>123</v>
      </c>
      <c r="N45" s="5">
        <v>62.7</v>
      </c>
      <c r="O45" s="5">
        <v>4.8</v>
      </c>
      <c r="P45" s="5"/>
      <c r="Q45" s="5"/>
      <c r="R45" s="3" t="s">
        <v>576</v>
      </c>
      <c r="S45" s="3" t="s">
        <v>571</v>
      </c>
      <c r="T45" s="3"/>
      <c r="U45" s="3" t="s">
        <v>621</v>
      </c>
      <c r="V45" s="3" t="s">
        <v>116</v>
      </c>
      <c r="W45" s="3" t="s">
        <v>622</v>
      </c>
      <c r="X45" s="3" t="s">
        <v>623</v>
      </c>
    </row>
    <row r="46" spans="1:24" ht="46.05" customHeight="1">
      <c r="A46" s="3" t="s">
        <v>670</v>
      </c>
      <c r="B46" s="3" t="s">
        <v>112</v>
      </c>
      <c r="C46" s="3">
        <v>2006</v>
      </c>
      <c r="D46" s="3" t="s">
        <v>24</v>
      </c>
      <c r="E46" s="3" t="s">
        <v>646</v>
      </c>
      <c r="F46" s="3" t="s">
        <v>660</v>
      </c>
      <c r="G46" s="6">
        <v>30</v>
      </c>
      <c r="H46" s="3" t="s">
        <v>120</v>
      </c>
      <c r="I46" s="5">
        <v>22.1</v>
      </c>
      <c r="J46" s="5">
        <v>3.1</v>
      </c>
      <c r="K46" s="3"/>
      <c r="L46" s="3" t="s">
        <v>122</v>
      </c>
      <c r="M46" s="3" t="s">
        <v>123</v>
      </c>
      <c r="N46" s="5">
        <v>50.1</v>
      </c>
      <c r="O46" s="5">
        <v>3.8</v>
      </c>
      <c r="P46" s="5"/>
      <c r="Q46" s="5"/>
      <c r="R46" s="3" t="s">
        <v>576</v>
      </c>
      <c r="S46" s="3" t="s">
        <v>571</v>
      </c>
      <c r="T46" s="3"/>
      <c r="U46" s="3" t="s">
        <v>621</v>
      </c>
      <c r="V46" s="3" t="s">
        <v>116</v>
      </c>
      <c r="W46" s="3" t="s">
        <v>622</v>
      </c>
      <c r="X46" s="3" t="s">
        <v>623</v>
      </c>
    </row>
    <row r="47" spans="1:24" ht="46.05" customHeight="1">
      <c r="A47" s="3" t="s">
        <v>671</v>
      </c>
      <c r="B47" s="3" t="s">
        <v>112</v>
      </c>
      <c r="C47" s="3">
        <v>2006</v>
      </c>
      <c r="D47" s="3" t="s">
        <v>24</v>
      </c>
      <c r="E47" s="3" t="s">
        <v>648</v>
      </c>
      <c r="F47" s="3" t="s">
        <v>660</v>
      </c>
      <c r="G47" s="6">
        <v>30</v>
      </c>
      <c r="H47" s="3" t="s">
        <v>120</v>
      </c>
      <c r="I47" s="5">
        <v>22.1</v>
      </c>
      <c r="J47" s="5">
        <v>3.1</v>
      </c>
      <c r="K47" s="3"/>
      <c r="L47" s="3" t="s">
        <v>122</v>
      </c>
      <c r="M47" s="3" t="s">
        <v>123</v>
      </c>
      <c r="N47" s="5">
        <v>6.5</v>
      </c>
      <c r="O47" s="5">
        <v>0.5</v>
      </c>
      <c r="P47" s="5"/>
      <c r="Q47" s="5"/>
      <c r="R47" s="3" t="s">
        <v>649</v>
      </c>
      <c r="S47" s="3" t="s">
        <v>571</v>
      </c>
      <c r="T47" s="3"/>
      <c r="U47" s="3" t="s">
        <v>621</v>
      </c>
      <c r="V47" s="3" t="s">
        <v>116</v>
      </c>
      <c r="W47" s="3" t="s">
        <v>622</v>
      </c>
      <c r="X47" s="3" t="s">
        <v>623</v>
      </c>
    </row>
    <row r="48" spans="1:24" ht="46.05" customHeight="1">
      <c r="A48" s="3" t="s">
        <v>672</v>
      </c>
      <c r="B48" s="3" t="s">
        <v>112</v>
      </c>
      <c r="C48" s="3">
        <v>2006</v>
      </c>
      <c r="D48" s="3" t="s">
        <v>24</v>
      </c>
      <c r="E48" s="3" t="s">
        <v>579</v>
      </c>
      <c r="F48" s="3" t="s">
        <v>660</v>
      </c>
      <c r="G48" s="6">
        <v>30</v>
      </c>
      <c r="H48" s="3" t="s">
        <v>120</v>
      </c>
      <c r="I48" s="5">
        <v>22.1</v>
      </c>
      <c r="J48" s="5">
        <v>3.1</v>
      </c>
      <c r="K48" s="3"/>
      <c r="L48" s="3" t="s">
        <v>122</v>
      </c>
      <c r="M48" s="3" t="s">
        <v>123</v>
      </c>
      <c r="N48" s="5">
        <v>61.7</v>
      </c>
      <c r="O48" s="5">
        <v>9</v>
      </c>
      <c r="P48" s="5"/>
      <c r="Q48" s="5"/>
      <c r="R48" s="3" t="s">
        <v>560</v>
      </c>
      <c r="S48" s="3" t="s">
        <v>571</v>
      </c>
      <c r="T48" s="3"/>
      <c r="U48" s="3" t="s">
        <v>621</v>
      </c>
      <c r="V48" s="3" t="s">
        <v>116</v>
      </c>
      <c r="W48" s="3" t="s">
        <v>622</v>
      </c>
      <c r="X48" s="3" t="s">
        <v>623</v>
      </c>
    </row>
    <row r="49" spans="1:24" ht="46.05" customHeight="1">
      <c r="A49" s="3" t="s">
        <v>673</v>
      </c>
      <c r="B49" s="3" t="s">
        <v>112</v>
      </c>
      <c r="C49" s="3">
        <v>2006</v>
      </c>
      <c r="D49" s="3" t="s">
        <v>24</v>
      </c>
      <c r="E49" s="3" t="s">
        <v>652</v>
      </c>
      <c r="F49" s="3" t="s">
        <v>660</v>
      </c>
      <c r="G49" s="6">
        <v>30</v>
      </c>
      <c r="H49" s="3" t="s">
        <v>120</v>
      </c>
      <c r="I49" s="5">
        <v>22.1</v>
      </c>
      <c r="J49" s="5">
        <v>3.1</v>
      </c>
      <c r="K49" s="3"/>
      <c r="L49" s="3" t="s">
        <v>122</v>
      </c>
      <c r="M49" s="3" t="s">
        <v>123</v>
      </c>
      <c r="N49" s="5">
        <v>191</v>
      </c>
      <c r="O49" s="5">
        <v>6</v>
      </c>
      <c r="P49" s="5"/>
      <c r="Q49" s="5"/>
      <c r="R49" s="3" t="s">
        <v>550</v>
      </c>
      <c r="S49" s="3" t="s">
        <v>571</v>
      </c>
      <c r="T49" s="3"/>
      <c r="U49" s="3" t="s">
        <v>621</v>
      </c>
      <c r="V49" s="3" t="s">
        <v>116</v>
      </c>
      <c r="W49" s="3" t="s">
        <v>622</v>
      </c>
      <c r="X49" s="3" t="s">
        <v>623</v>
      </c>
    </row>
    <row r="50" spans="1:24" ht="46.05" customHeight="1">
      <c r="A50" s="3" t="s">
        <v>674</v>
      </c>
      <c r="B50" s="3" t="s">
        <v>112</v>
      </c>
      <c r="C50" s="3">
        <v>2006</v>
      </c>
      <c r="D50" s="3" t="s">
        <v>24</v>
      </c>
      <c r="E50" s="3" t="s">
        <v>654</v>
      </c>
      <c r="F50" s="3" t="s">
        <v>660</v>
      </c>
      <c r="G50" s="6">
        <v>30</v>
      </c>
      <c r="H50" s="3" t="s">
        <v>120</v>
      </c>
      <c r="I50" s="5">
        <v>22.1</v>
      </c>
      <c r="J50" s="5">
        <v>3.1</v>
      </c>
      <c r="K50" s="3"/>
      <c r="L50" s="3" t="s">
        <v>122</v>
      </c>
      <c r="M50" s="3" t="s">
        <v>123</v>
      </c>
      <c r="N50" s="5">
        <v>147</v>
      </c>
      <c r="O50" s="5">
        <v>10</v>
      </c>
      <c r="P50" s="5"/>
      <c r="Q50" s="5"/>
      <c r="R50" s="3" t="s">
        <v>550</v>
      </c>
      <c r="S50" s="3" t="s">
        <v>571</v>
      </c>
      <c r="T50" s="3"/>
      <c r="U50" s="3" t="s">
        <v>621</v>
      </c>
      <c r="V50" s="3" t="s">
        <v>116</v>
      </c>
      <c r="W50" s="3" t="s">
        <v>622</v>
      </c>
      <c r="X50" s="3" t="s">
        <v>623</v>
      </c>
    </row>
    <row r="51" spans="1:24" ht="46.05" customHeight="1">
      <c r="A51" s="3" t="s">
        <v>675</v>
      </c>
      <c r="B51" s="3" t="s">
        <v>112</v>
      </c>
      <c r="C51" s="3">
        <v>2006</v>
      </c>
      <c r="D51" s="3" t="s">
        <v>24</v>
      </c>
      <c r="E51" s="3" t="s">
        <v>656</v>
      </c>
      <c r="F51" s="3" t="s">
        <v>660</v>
      </c>
      <c r="G51" s="6">
        <v>30</v>
      </c>
      <c r="H51" s="3" t="s">
        <v>120</v>
      </c>
      <c r="I51" s="5">
        <v>22.1</v>
      </c>
      <c r="J51" s="5">
        <v>3.1</v>
      </c>
      <c r="K51" s="3"/>
      <c r="L51" s="3" t="s">
        <v>122</v>
      </c>
      <c r="M51" s="3" t="s">
        <v>123</v>
      </c>
      <c r="N51" s="5">
        <v>129</v>
      </c>
      <c r="O51" s="5">
        <v>8</v>
      </c>
      <c r="P51" s="5"/>
      <c r="Q51" s="5"/>
      <c r="R51" s="3" t="s">
        <v>550</v>
      </c>
      <c r="S51" s="3" t="s">
        <v>571</v>
      </c>
      <c r="T51" s="3"/>
      <c r="U51" s="3" t="s">
        <v>621</v>
      </c>
      <c r="V51" s="3" t="s">
        <v>116</v>
      </c>
      <c r="W51" s="3" t="s">
        <v>622</v>
      </c>
      <c r="X51" s="3" t="s">
        <v>623</v>
      </c>
    </row>
    <row r="52" spans="1:24" ht="46.05" customHeight="1">
      <c r="A52" s="3" t="s">
        <v>676</v>
      </c>
      <c r="B52" s="3" t="s">
        <v>112</v>
      </c>
      <c r="C52" s="3">
        <v>2006</v>
      </c>
      <c r="D52" s="3" t="s">
        <v>24</v>
      </c>
      <c r="E52" s="3" t="s">
        <v>658</v>
      </c>
      <c r="F52" s="3" t="s">
        <v>660</v>
      </c>
      <c r="G52" s="6">
        <v>30</v>
      </c>
      <c r="H52" s="3" t="s">
        <v>120</v>
      </c>
      <c r="I52" s="5">
        <v>22.1</v>
      </c>
      <c r="J52" s="5">
        <v>3.1</v>
      </c>
      <c r="K52" s="3"/>
      <c r="L52" s="3" t="s">
        <v>122</v>
      </c>
      <c r="M52" s="3" t="s">
        <v>123</v>
      </c>
      <c r="N52" s="5">
        <v>117</v>
      </c>
      <c r="O52" s="5">
        <v>7</v>
      </c>
      <c r="P52" s="5"/>
      <c r="Q52" s="5"/>
      <c r="R52" s="3" t="s">
        <v>550</v>
      </c>
      <c r="S52" s="3" t="s">
        <v>571</v>
      </c>
      <c r="T52" s="3"/>
      <c r="U52" s="3" t="s">
        <v>621</v>
      </c>
      <c r="V52" s="3" t="s">
        <v>116</v>
      </c>
      <c r="W52" s="3" t="s">
        <v>622</v>
      </c>
      <c r="X52" s="3" t="s">
        <v>623</v>
      </c>
    </row>
    <row r="53" spans="1:24" ht="46.05" customHeight="1">
      <c r="A53" s="3" t="s">
        <v>677</v>
      </c>
      <c r="B53" s="3" t="s">
        <v>128</v>
      </c>
      <c r="C53" s="3">
        <v>2006</v>
      </c>
      <c r="D53" s="3" t="s">
        <v>24</v>
      </c>
      <c r="E53" s="3" t="s">
        <v>579</v>
      </c>
      <c r="F53" s="3" t="s">
        <v>678</v>
      </c>
      <c r="G53" s="6"/>
      <c r="H53" s="3" t="s">
        <v>137</v>
      </c>
      <c r="I53" s="5"/>
      <c r="J53" s="5"/>
      <c r="K53" s="3"/>
      <c r="L53" s="3" t="s">
        <v>139</v>
      </c>
      <c r="M53" s="3" t="s">
        <v>140</v>
      </c>
      <c r="N53" s="5">
        <v>63.8</v>
      </c>
      <c r="O53" s="5">
        <v>4.8</v>
      </c>
      <c r="P53" s="5"/>
      <c r="Q53" s="5"/>
      <c r="R53" s="3" t="s">
        <v>560</v>
      </c>
      <c r="S53" s="3" t="s">
        <v>571</v>
      </c>
      <c r="T53" s="3"/>
      <c r="U53" s="3" t="s">
        <v>679</v>
      </c>
      <c r="V53" s="3" t="s">
        <v>132</v>
      </c>
      <c r="W53" s="3" t="s">
        <v>143</v>
      </c>
      <c r="X53" s="3" t="s">
        <v>144</v>
      </c>
    </row>
    <row r="54" spans="1:24" ht="46.05" customHeight="1">
      <c r="A54" s="3" t="s">
        <v>680</v>
      </c>
      <c r="B54" s="3" t="s">
        <v>128</v>
      </c>
      <c r="C54" s="3">
        <v>2006</v>
      </c>
      <c r="D54" s="3" t="s">
        <v>24</v>
      </c>
      <c r="E54" s="3" t="s">
        <v>579</v>
      </c>
      <c r="F54" s="3" t="s">
        <v>681</v>
      </c>
      <c r="G54" s="6"/>
      <c r="H54" s="3" t="s">
        <v>137</v>
      </c>
      <c r="I54" s="5"/>
      <c r="J54" s="5"/>
      <c r="K54" s="3"/>
      <c r="L54" s="3" t="s">
        <v>139</v>
      </c>
      <c r="M54" s="3" t="s">
        <v>140</v>
      </c>
      <c r="N54" s="5">
        <v>49.8</v>
      </c>
      <c r="O54" s="5">
        <v>3.29</v>
      </c>
      <c r="P54" s="5"/>
      <c r="Q54" s="5"/>
      <c r="R54" s="3" t="s">
        <v>560</v>
      </c>
      <c r="S54" s="3" t="s">
        <v>571</v>
      </c>
      <c r="T54" s="3"/>
      <c r="U54" s="3"/>
      <c r="V54" s="3" t="s">
        <v>132</v>
      </c>
      <c r="W54" s="3" t="s">
        <v>143</v>
      </c>
      <c r="X54" s="3" t="s">
        <v>144</v>
      </c>
    </row>
    <row r="55" spans="1:24" ht="46.05" customHeight="1">
      <c r="A55" s="3" t="s">
        <v>682</v>
      </c>
      <c r="B55" s="3" t="s">
        <v>128</v>
      </c>
      <c r="C55" s="3">
        <v>2006</v>
      </c>
      <c r="D55" s="3" t="s">
        <v>24</v>
      </c>
      <c r="E55" s="3" t="s">
        <v>683</v>
      </c>
      <c r="F55" s="3" t="s">
        <v>678</v>
      </c>
      <c r="G55" s="6"/>
      <c r="H55" s="3" t="s">
        <v>137</v>
      </c>
      <c r="I55" s="5"/>
      <c r="J55" s="5"/>
      <c r="K55" s="3"/>
      <c r="L55" s="3" t="s">
        <v>139</v>
      </c>
      <c r="M55" s="3" t="s">
        <v>140</v>
      </c>
      <c r="N55" s="5">
        <v>13.5</v>
      </c>
      <c r="O55" s="5">
        <v>2</v>
      </c>
      <c r="P55" s="5"/>
      <c r="Q55" s="5"/>
      <c r="R55" s="3" t="s">
        <v>555</v>
      </c>
      <c r="S55" s="3" t="s">
        <v>571</v>
      </c>
      <c r="T55" s="3"/>
      <c r="U55" s="3"/>
      <c r="V55" s="3" t="s">
        <v>132</v>
      </c>
      <c r="W55" s="3" t="s">
        <v>143</v>
      </c>
      <c r="X55" s="3" t="s">
        <v>144</v>
      </c>
    </row>
    <row r="56" spans="1:24" ht="46.05" customHeight="1">
      <c r="A56" s="3" t="s">
        <v>684</v>
      </c>
      <c r="B56" s="3" t="s">
        <v>128</v>
      </c>
      <c r="C56" s="3">
        <v>2006</v>
      </c>
      <c r="D56" s="3" t="s">
        <v>24</v>
      </c>
      <c r="E56" s="3" t="s">
        <v>683</v>
      </c>
      <c r="F56" s="3" t="s">
        <v>681</v>
      </c>
      <c r="G56" s="6"/>
      <c r="H56" s="3" t="s">
        <v>137</v>
      </c>
      <c r="I56" s="5"/>
      <c r="J56" s="5"/>
      <c r="K56" s="3"/>
      <c r="L56" s="3" t="s">
        <v>139</v>
      </c>
      <c r="M56" s="3" t="s">
        <v>140</v>
      </c>
      <c r="N56" s="5">
        <v>14.1</v>
      </c>
      <c r="O56" s="5">
        <v>2</v>
      </c>
      <c r="P56" s="5"/>
      <c r="Q56" s="5"/>
      <c r="R56" s="3" t="s">
        <v>555</v>
      </c>
      <c r="S56" s="3" t="s">
        <v>571</v>
      </c>
      <c r="T56" s="3"/>
      <c r="U56" s="3"/>
      <c r="V56" s="3" t="s">
        <v>132</v>
      </c>
      <c r="W56" s="3" t="s">
        <v>143</v>
      </c>
      <c r="X56" s="3" t="s">
        <v>144</v>
      </c>
    </row>
    <row r="57" spans="1:24" ht="46.05" customHeight="1">
      <c r="A57" s="3" t="s">
        <v>685</v>
      </c>
      <c r="B57" s="3" t="s">
        <v>128</v>
      </c>
      <c r="C57" s="3">
        <v>2006</v>
      </c>
      <c r="D57" s="3" t="s">
        <v>25</v>
      </c>
      <c r="E57" s="3" t="s">
        <v>587</v>
      </c>
      <c r="F57" s="3" t="s">
        <v>686</v>
      </c>
      <c r="G57" s="6"/>
      <c r="H57" s="3" t="s">
        <v>137</v>
      </c>
      <c r="I57" s="5"/>
      <c r="J57" s="5"/>
      <c r="K57" s="3"/>
      <c r="L57" s="3" t="s">
        <v>139</v>
      </c>
      <c r="M57" s="3" t="s">
        <v>140</v>
      </c>
      <c r="N57" s="5">
        <v>1722</v>
      </c>
      <c r="O57" s="5">
        <v>700</v>
      </c>
      <c r="P57" s="5"/>
      <c r="Q57" s="5"/>
      <c r="R57" s="3" t="s">
        <v>589</v>
      </c>
      <c r="S57" s="3" t="s">
        <v>571</v>
      </c>
      <c r="T57" s="3"/>
      <c r="U57" s="3" t="s">
        <v>687</v>
      </c>
      <c r="V57" s="3" t="s">
        <v>132</v>
      </c>
      <c r="W57" s="3" t="s">
        <v>143</v>
      </c>
      <c r="X57" s="3" t="s">
        <v>688</v>
      </c>
    </row>
    <row r="58" spans="1:24" ht="46.05" customHeight="1">
      <c r="A58" s="3" t="s">
        <v>689</v>
      </c>
      <c r="B58" s="3" t="s">
        <v>128</v>
      </c>
      <c r="C58" s="3">
        <v>2006</v>
      </c>
      <c r="D58" s="3" t="s">
        <v>25</v>
      </c>
      <c r="E58" s="3" t="s">
        <v>587</v>
      </c>
      <c r="F58" s="3" t="s">
        <v>690</v>
      </c>
      <c r="G58" s="6"/>
      <c r="H58" s="3" t="s">
        <v>137</v>
      </c>
      <c r="I58" s="5"/>
      <c r="J58" s="5"/>
      <c r="K58" s="3"/>
      <c r="L58" s="3" t="s">
        <v>139</v>
      </c>
      <c r="M58" s="3" t="s">
        <v>140</v>
      </c>
      <c r="N58" s="5">
        <v>1682</v>
      </c>
      <c r="O58" s="5">
        <v>636</v>
      </c>
      <c r="P58" s="5"/>
      <c r="Q58" s="5"/>
      <c r="R58" s="3" t="s">
        <v>589</v>
      </c>
      <c r="S58" s="3" t="s">
        <v>571</v>
      </c>
      <c r="T58" s="3"/>
      <c r="U58" s="3" t="s">
        <v>687</v>
      </c>
      <c r="V58" s="3" t="s">
        <v>132</v>
      </c>
      <c r="W58" s="3" t="s">
        <v>143</v>
      </c>
      <c r="X58" s="3" t="s">
        <v>688</v>
      </c>
    </row>
    <row r="59" spans="1:24" ht="46.05" customHeight="1">
      <c r="A59" s="3" t="s">
        <v>691</v>
      </c>
      <c r="B59" s="3" t="s">
        <v>128</v>
      </c>
      <c r="C59" s="3">
        <v>2006</v>
      </c>
      <c r="D59" s="3" t="s">
        <v>25</v>
      </c>
      <c r="E59" s="3" t="s">
        <v>587</v>
      </c>
      <c r="F59" s="3" t="s">
        <v>692</v>
      </c>
      <c r="G59" s="6"/>
      <c r="H59" s="3" t="s">
        <v>137</v>
      </c>
      <c r="I59" s="5"/>
      <c r="J59" s="5"/>
      <c r="K59" s="3"/>
      <c r="L59" s="3" t="s">
        <v>139</v>
      </c>
      <c r="M59" s="3" t="s">
        <v>140</v>
      </c>
      <c r="N59" s="5">
        <v>2643</v>
      </c>
      <c r="O59" s="5">
        <v>1273</v>
      </c>
      <c r="P59" s="5"/>
      <c r="Q59" s="5"/>
      <c r="R59" s="3" t="s">
        <v>589</v>
      </c>
      <c r="S59" s="3" t="s">
        <v>571</v>
      </c>
      <c r="T59" s="3"/>
      <c r="U59" s="3" t="s">
        <v>687</v>
      </c>
      <c r="V59" s="3" t="s">
        <v>132</v>
      </c>
      <c r="W59" s="3" t="s">
        <v>143</v>
      </c>
      <c r="X59" s="3" t="s">
        <v>688</v>
      </c>
    </row>
    <row r="60" spans="1:24" ht="46.05" customHeight="1">
      <c r="A60" s="3" t="s">
        <v>693</v>
      </c>
      <c r="B60" s="3" t="s">
        <v>128</v>
      </c>
      <c r="C60" s="3">
        <v>2006</v>
      </c>
      <c r="D60" s="3" t="s">
        <v>25</v>
      </c>
      <c r="E60" s="3" t="s">
        <v>587</v>
      </c>
      <c r="F60" s="3" t="s">
        <v>694</v>
      </c>
      <c r="G60" s="6"/>
      <c r="H60" s="3" t="s">
        <v>137</v>
      </c>
      <c r="I60" s="5"/>
      <c r="J60" s="5"/>
      <c r="K60" s="3"/>
      <c r="L60" s="3" t="s">
        <v>139</v>
      </c>
      <c r="M60" s="3" t="s">
        <v>140</v>
      </c>
      <c r="N60" s="5">
        <v>2646</v>
      </c>
      <c r="O60" s="5">
        <v>1083</v>
      </c>
      <c r="P60" s="5"/>
      <c r="Q60" s="5"/>
      <c r="R60" s="3" t="s">
        <v>589</v>
      </c>
      <c r="S60" s="3" t="s">
        <v>571</v>
      </c>
      <c r="T60" s="3"/>
      <c r="U60" s="3" t="s">
        <v>687</v>
      </c>
      <c r="V60" s="3" t="s">
        <v>132</v>
      </c>
      <c r="W60" s="3" t="s">
        <v>143</v>
      </c>
      <c r="X60" s="3" t="s">
        <v>688</v>
      </c>
    </row>
    <row r="61" spans="1:24" ht="46.05" customHeight="1">
      <c r="A61" s="3" t="s">
        <v>695</v>
      </c>
      <c r="B61" s="3" t="s">
        <v>128</v>
      </c>
      <c r="C61" s="3">
        <v>2006</v>
      </c>
      <c r="D61" s="3" t="s">
        <v>25</v>
      </c>
      <c r="E61" s="3" t="s">
        <v>587</v>
      </c>
      <c r="F61" s="3" t="s">
        <v>696</v>
      </c>
      <c r="G61" s="6"/>
      <c r="H61" s="3" t="s">
        <v>137</v>
      </c>
      <c r="I61" s="5"/>
      <c r="J61" s="5"/>
      <c r="K61" s="3"/>
      <c r="L61" s="3" t="s">
        <v>139</v>
      </c>
      <c r="M61" s="3" t="s">
        <v>140</v>
      </c>
      <c r="N61" s="5">
        <v>2412</v>
      </c>
      <c r="O61" s="5">
        <v>813</v>
      </c>
      <c r="P61" s="5"/>
      <c r="Q61" s="5"/>
      <c r="R61" s="3" t="s">
        <v>589</v>
      </c>
      <c r="S61" s="3" t="s">
        <v>571</v>
      </c>
      <c r="T61" s="3"/>
      <c r="U61" s="3" t="s">
        <v>687</v>
      </c>
      <c r="V61" s="3" t="s">
        <v>132</v>
      </c>
      <c r="W61" s="3" t="s">
        <v>143</v>
      </c>
      <c r="X61" s="3" t="s">
        <v>688</v>
      </c>
    </row>
    <row r="62" spans="1:24" ht="46.05" customHeight="1">
      <c r="A62" s="3" t="s">
        <v>697</v>
      </c>
      <c r="B62" s="3" t="s">
        <v>128</v>
      </c>
      <c r="C62" s="3">
        <v>2006</v>
      </c>
      <c r="D62" s="3" t="s">
        <v>25</v>
      </c>
      <c r="E62" s="3" t="s">
        <v>587</v>
      </c>
      <c r="F62" s="3" t="s">
        <v>698</v>
      </c>
      <c r="G62" s="6"/>
      <c r="H62" s="3" t="s">
        <v>137</v>
      </c>
      <c r="I62" s="5"/>
      <c r="J62" s="5"/>
      <c r="K62" s="3"/>
      <c r="L62" s="3" t="s">
        <v>139</v>
      </c>
      <c r="M62" s="3" t="s">
        <v>140</v>
      </c>
      <c r="N62" s="5">
        <v>2414</v>
      </c>
      <c r="O62" s="5">
        <v>718</v>
      </c>
      <c r="P62" s="5"/>
      <c r="Q62" s="5"/>
      <c r="R62" s="3" t="s">
        <v>589</v>
      </c>
      <c r="S62" s="3" t="s">
        <v>571</v>
      </c>
      <c r="T62" s="3"/>
      <c r="U62" s="3" t="s">
        <v>687</v>
      </c>
      <c r="V62" s="3" t="s">
        <v>132</v>
      </c>
      <c r="W62" s="3" t="s">
        <v>143</v>
      </c>
      <c r="X62" s="3" t="s">
        <v>688</v>
      </c>
    </row>
    <row r="63" spans="1:24" ht="46.05" customHeight="1">
      <c r="A63" s="3" t="s">
        <v>699</v>
      </c>
      <c r="B63" s="3" t="s">
        <v>128</v>
      </c>
      <c r="C63" s="3">
        <v>2006</v>
      </c>
      <c r="D63" s="3" t="s">
        <v>25</v>
      </c>
      <c r="E63" s="3" t="s">
        <v>587</v>
      </c>
      <c r="F63" s="3" t="s">
        <v>700</v>
      </c>
      <c r="G63" s="6"/>
      <c r="H63" s="3" t="s">
        <v>137</v>
      </c>
      <c r="I63" s="5"/>
      <c r="J63" s="5"/>
      <c r="K63" s="3"/>
      <c r="L63" s="3" t="s">
        <v>139</v>
      </c>
      <c r="M63" s="3" t="s">
        <v>140</v>
      </c>
      <c r="N63" s="5">
        <v>2588</v>
      </c>
      <c r="O63" s="5">
        <v>1040</v>
      </c>
      <c r="P63" s="5"/>
      <c r="Q63" s="5"/>
      <c r="R63" s="3" t="s">
        <v>589</v>
      </c>
      <c r="S63" s="3" t="s">
        <v>571</v>
      </c>
      <c r="T63" s="3"/>
      <c r="U63" s="3" t="s">
        <v>687</v>
      </c>
      <c r="V63" s="3" t="s">
        <v>132</v>
      </c>
      <c r="W63" s="3" t="s">
        <v>143</v>
      </c>
      <c r="X63" s="3" t="s">
        <v>688</v>
      </c>
    </row>
    <row r="64" spans="1:24" ht="46.05" customHeight="1">
      <c r="A64" s="3" t="s">
        <v>701</v>
      </c>
      <c r="B64" s="3" t="s">
        <v>128</v>
      </c>
      <c r="C64" s="3">
        <v>2006</v>
      </c>
      <c r="D64" s="3" t="s">
        <v>25</v>
      </c>
      <c r="E64" s="3" t="s">
        <v>587</v>
      </c>
      <c r="F64" s="3" t="s">
        <v>702</v>
      </c>
      <c r="G64" s="6"/>
      <c r="H64" s="3" t="s">
        <v>137</v>
      </c>
      <c r="I64" s="5"/>
      <c r="J64" s="5"/>
      <c r="K64" s="3"/>
      <c r="L64" s="3" t="s">
        <v>139</v>
      </c>
      <c r="M64" s="3" t="s">
        <v>140</v>
      </c>
      <c r="N64" s="5">
        <v>2555</v>
      </c>
      <c r="O64" s="5">
        <v>926</v>
      </c>
      <c r="P64" s="5"/>
      <c r="Q64" s="5"/>
      <c r="R64" s="3" t="s">
        <v>589</v>
      </c>
      <c r="S64" s="3" t="s">
        <v>571</v>
      </c>
      <c r="T64" s="3"/>
      <c r="U64" s="3" t="s">
        <v>687</v>
      </c>
      <c r="V64" s="3" t="s">
        <v>132</v>
      </c>
      <c r="W64" s="3" t="s">
        <v>143</v>
      </c>
      <c r="X64" s="3" t="s">
        <v>688</v>
      </c>
    </row>
    <row r="65" spans="1:24" ht="46.05" customHeight="1">
      <c r="A65" s="3" t="s">
        <v>703</v>
      </c>
      <c r="B65" s="3" t="s">
        <v>145</v>
      </c>
      <c r="C65" s="3">
        <v>2010</v>
      </c>
      <c r="D65" s="3" t="s">
        <v>24</v>
      </c>
      <c r="E65" s="3" t="s">
        <v>704</v>
      </c>
      <c r="F65" s="3" t="s">
        <v>705</v>
      </c>
      <c r="G65" s="6">
        <v>6</v>
      </c>
      <c r="H65" s="3" t="s">
        <v>154</v>
      </c>
      <c r="I65" s="5"/>
      <c r="J65" s="5"/>
      <c r="K65" s="3"/>
      <c r="L65" s="3" t="s">
        <v>156</v>
      </c>
      <c r="M65" s="3" t="s">
        <v>155</v>
      </c>
      <c r="N65" s="5">
        <v>56.1</v>
      </c>
      <c r="O65" s="5"/>
      <c r="P65" s="5"/>
      <c r="Q65" s="5"/>
      <c r="R65" s="3" t="s">
        <v>560</v>
      </c>
      <c r="S65" s="3" t="s">
        <v>551</v>
      </c>
      <c r="T65" s="3"/>
      <c r="U65" s="3" t="s">
        <v>706</v>
      </c>
      <c r="V65" s="3" t="s">
        <v>150</v>
      </c>
      <c r="W65" s="3" t="s">
        <v>159</v>
      </c>
      <c r="X65" s="3" t="s">
        <v>160</v>
      </c>
    </row>
    <row r="66" spans="1:24" ht="46.05" customHeight="1">
      <c r="A66" s="3" t="s">
        <v>707</v>
      </c>
      <c r="B66" s="3" t="s">
        <v>145</v>
      </c>
      <c r="C66" s="3">
        <v>2010</v>
      </c>
      <c r="D66" s="3" t="s">
        <v>24</v>
      </c>
      <c r="E66" s="3" t="s">
        <v>704</v>
      </c>
      <c r="F66" s="3" t="s">
        <v>708</v>
      </c>
      <c r="G66" s="6">
        <v>6</v>
      </c>
      <c r="H66" s="3" t="s">
        <v>154</v>
      </c>
      <c r="I66" s="5"/>
      <c r="J66" s="5"/>
      <c r="K66" s="3"/>
      <c r="L66" s="3" t="s">
        <v>156</v>
      </c>
      <c r="M66" s="3" t="s">
        <v>155</v>
      </c>
      <c r="N66" s="5">
        <v>57.5</v>
      </c>
      <c r="O66" s="5"/>
      <c r="P66" s="5"/>
      <c r="Q66" s="5"/>
      <c r="R66" s="3" t="s">
        <v>560</v>
      </c>
      <c r="S66" s="3" t="s">
        <v>551</v>
      </c>
      <c r="T66" s="3"/>
      <c r="U66" s="3" t="s">
        <v>706</v>
      </c>
      <c r="V66" s="3" t="s">
        <v>150</v>
      </c>
      <c r="W66" s="3" t="s">
        <v>159</v>
      </c>
      <c r="X66" s="3" t="s">
        <v>160</v>
      </c>
    </row>
    <row r="67" spans="1:24" ht="46.05" customHeight="1">
      <c r="A67" s="3" t="s">
        <v>709</v>
      </c>
      <c r="B67" s="3" t="s">
        <v>145</v>
      </c>
      <c r="C67" s="3">
        <v>2010</v>
      </c>
      <c r="D67" s="3" t="s">
        <v>24</v>
      </c>
      <c r="E67" s="3" t="s">
        <v>704</v>
      </c>
      <c r="F67" s="3" t="s">
        <v>710</v>
      </c>
      <c r="G67" s="6">
        <v>6</v>
      </c>
      <c r="H67" s="3" t="s">
        <v>154</v>
      </c>
      <c r="I67" s="5"/>
      <c r="J67" s="5"/>
      <c r="K67" s="3"/>
      <c r="L67" s="3" t="s">
        <v>156</v>
      </c>
      <c r="M67" s="3" t="s">
        <v>155</v>
      </c>
      <c r="N67" s="5">
        <v>57.7</v>
      </c>
      <c r="O67" s="5"/>
      <c r="P67" s="5"/>
      <c r="Q67" s="5"/>
      <c r="R67" s="3" t="s">
        <v>560</v>
      </c>
      <c r="S67" s="3" t="s">
        <v>551</v>
      </c>
      <c r="T67" s="3"/>
      <c r="U67" s="3" t="s">
        <v>706</v>
      </c>
      <c r="V67" s="3" t="s">
        <v>150</v>
      </c>
      <c r="W67" s="3" t="s">
        <v>159</v>
      </c>
      <c r="X67" s="3" t="s">
        <v>160</v>
      </c>
    </row>
    <row r="68" spans="1:24" ht="46.05" customHeight="1">
      <c r="A68" s="3" t="s">
        <v>711</v>
      </c>
      <c r="B68" s="3" t="s">
        <v>145</v>
      </c>
      <c r="C68" s="3">
        <v>2010</v>
      </c>
      <c r="D68" s="3" t="s">
        <v>24</v>
      </c>
      <c r="E68" s="3" t="s">
        <v>704</v>
      </c>
      <c r="F68" s="3" t="s">
        <v>712</v>
      </c>
      <c r="G68" s="6">
        <v>6</v>
      </c>
      <c r="H68" s="3" t="s">
        <v>154</v>
      </c>
      <c r="I68" s="5"/>
      <c r="J68" s="5"/>
      <c r="K68" s="3"/>
      <c r="L68" s="3" t="s">
        <v>156</v>
      </c>
      <c r="M68" s="3" t="s">
        <v>155</v>
      </c>
      <c r="N68" s="5">
        <v>59.3</v>
      </c>
      <c r="O68" s="5"/>
      <c r="P68" s="5"/>
      <c r="Q68" s="5"/>
      <c r="R68" s="3" t="s">
        <v>560</v>
      </c>
      <c r="S68" s="3" t="s">
        <v>551</v>
      </c>
      <c r="T68" s="3"/>
      <c r="U68" s="3" t="s">
        <v>706</v>
      </c>
      <c r="V68" s="3" t="s">
        <v>150</v>
      </c>
      <c r="W68" s="3" t="s">
        <v>159</v>
      </c>
      <c r="X68" s="3" t="s">
        <v>160</v>
      </c>
    </row>
    <row r="69" spans="1:24" ht="46.05" customHeight="1">
      <c r="A69" s="3" t="s">
        <v>713</v>
      </c>
      <c r="B69" s="3" t="s">
        <v>145</v>
      </c>
      <c r="C69" s="3">
        <v>2010</v>
      </c>
      <c r="D69" s="3" t="s">
        <v>24</v>
      </c>
      <c r="E69" s="3" t="s">
        <v>548</v>
      </c>
      <c r="F69" s="3" t="s">
        <v>714</v>
      </c>
      <c r="G69" s="6">
        <v>6</v>
      </c>
      <c r="H69" s="3" t="s">
        <v>154</v>
      </c>
      <c r="I69" s="5"/>
      <c r="J69" s="5"/>
      <c r="K69" s="3"/>
      <c r="L69" s="3" t="s">
        <v>156</v>
      </c>
      <c r="M69" s="3" t="s">
        <v>155</v>
      </c>
      <c r="N69" s="5">
        <v>192</v>
      </c>
      <c r="O69" s="5"/>
      <c r="P69" s="5"/>
      <c r="Q69" s="5"/>
      <c r="R69" s="3" t="s">
        <v>550</v>
      </c>
      <c r="S69" s="3" t="s">
        <v>551</v>
      </c>
      <c r="T69" s="3"/>
      <c r="U69" s="3"/>
      <c r="V69" s="3" t="s">
        <v>150</v>
      </c>
      <c r="W69" s="3" t="s">
        <v>159</v>
      </c>
      <c r="X69" s="3" t="s">
        <v>160</v>
      </c>
    </row>
    <row r="70" spans="1:24" ht="46.05" customHeight="1">
      <c r="A70" s="3" t="s">
        <v>715</v>
      </c>
      <c r="B70" s="3" t="s">
        <v>145</v>
      </c>
      <c r="C70" s="3">
        <v>2010</v>
      </c>
      <c r="D70" s="3" t="s">
        <v>24</v>
      </c>
      <c r="E70" s="3" t="s">
        <v>554</v>
      </c>
      <c r="F70" s="3" t="s">
        <v>714</v>
      </c>
      <c r="G70" s="6">
        <v>6</v>
      </c>
      <c r="H70" s="3" t="s">
        <v>154</v>
      </c>
      <c r="I70" s="5"/>
      <c r="J70" s="5"/>
      <c r="K70" s="3"/>
      <c r="L70" s="3" t="s">
        <v>156</v>
      </c>
      <c r="M70" s="3" t="s">
        <v>155</v>
      </c>
      <c r="N70" s="5">
        <v>13.6</v>
      </c>
      <c r="O70" s="5"/>
      <c r="P70" s="5"/>
      <c r="Q70" s="5"/>
      <c r="R70" s="3" t="s">
        <v>555</v>
      </c>
      <c r="S70" s="3" t="s">
        <v>551</v>
      </c>
      <c r="T70" s="3"/>
      <c r="U70" s="3"/>
      <c r="V70" s="3" t="s">
        <v>150</v>
      </c>
      <c r="W70" s="3" t="s">
        <v>159</v>
      </c>
      <c r="X70" s="3" t="s">
        <v>160</v>
      </c>
    </row>
    <row r="71" spans="1:24" ht="46.05" customHeight="1">
      <c r="A71" s="3" t="s">
        <v>716</v>
      </c>
      <c r="B71" s="3" t="s">
        <v>161</v>
      </c>
      <c r="C71" s="3">
        <v>2008</v>
      </c>
      <c r="D71" s="3" t="s">
        <v>26</v>
      </c>
      <c r="E71" s="3" t="s">
        <v>717</v>
      </c>
      <c r="F71" s="3" t="s">
        <v>718</v>
      </c>
      <c r="G71" s="6">
        <v>33</v>
      </c>
      <c r="H71" s="3" t="s">
        <v>120</v>
      </c>
      <c r="I71" s="5">
        <v>24.1</v>
      </c>
      <c r="J71" s="5">
        <v>5.13</v>
      </c>
      <c r="K71" s="3"/>
      <c r="L71" s="3" t="s">
        <v>171</v>
      </c>
      <c r="M71" s="3" t="s">
        <v>155</v>
      </c>
      <c r="N71" s="5">
        <v>0.24399999999999999</v>
      </c>
      <c r="O71" s="5">
        <v>7.0000000000000001E-3</v>
      </c>
      <c r="P71" s="5"/>
      <c r="Q71" s="5"/>
      <c r="R71" s="3" t="s">
        <v>719</v>
      </c>
      <c r="S71" s="3" t="s">
        <v>571</v>
      </c>
      <c r="T71" s="3"/>
      <c r="U71" s="3" t="s">
        <v>720</v>
      </c>
      <c r="V71" s="3" t="s">
        <v>166</v>
      </c>
      <c r="W71" s="3" t="s">
        <v>174</v>
      </c>
      <c r="X71" s="3" t="s">
        <v>721</v>
      </c>
    </row>
    <row r="72" spans="1:24" ht="46.05" customHeight="1">
      <c r="A72" s="3" t="s">
        <v>722</v>
      </c>
      <c r="B72" s="3" t="s">
        <v>161</v>
      </c>
      <c r="C72" s="3">
        <v>2008</v>
      </c>
      <c r="D72" s="3" t="s">
        <v>26</v>
      </c>
      <c r="E72" s="3" t="s">
        <v>717</v>
      </c>
      <c r="F72" s="3" t="s">
        <v>723</v>
      </c>
      <c r="G72" s="6">
        <v>27</v>
      </c>
      <c r="H72" s="3" t="s">
        <v>120</v>
      </c>
      <c r="I72" s="5">
        <v>29.4</v>
      </c>
      <c r="J72" s="5">
        <v>4.1900000000000004</v>
      </c>
      <c r="K72" s="3"/>
      <c r="L72" s="3" t="s">
        <v>171</v>
      </c>
      <c r="M72" s="3" t="s">
        <v>155</v>
      </c>
      <c r="N72" s="5">
        <v>0.249</v>
      </c>
      <c r="O72" s="5">
        <v>7.0000000000000001E-3</v>
      </c>
      <c r="P72" s="5"/>
      <c r="Q72" s="5"/>
      <c r="R72" s="3" t="s">
        <v>719</v>
      </c>
      <c r="S72" s="3" t="s">
        <v>571</v>
      </c>
      <c r="T72" s="3"/>
      <c r="U72" s="3" t="s">
        <v>720</v>
      </c>
      <c r="V72" s="3" t="s">
        <v>166</v>
      </c>
      <c r="W72" s="3" t="s">
        <v>174</v>
      </c>
      <c r="X72" s="3" t="s">
        <v>721</v>
      </c>
    </row>
    <row r="73" spans="1:24" ht="46.05" customHeight="1">
      <c r="A73" s="3" t="s">
        <v>724</v>
      </c>
      <c r="B73" s="3" t="s">
        <v>161</v>
      </c>
      <c r="C73" s="3">
        <v>2008</v>
      </c>
      <c r="D73" s="3" t="s">
        <v>26</v>
      </c>
      <c r="E73" s="3" t="s">
        <v>717</v>
      </c>
      <c r="F73" s="3" t="s">
        <v>725</v>
      </c>
      <c r="G73" s="6">
        <v>33</v>
      </c>
      <c r="H73" s="3" t="s">
        <v>120</v>
      </c>
      <c r="I73" s="5">
        <v>24.1</v>
      </c>
      <c r="J73" s="5">
        <v>5.13</v>
      </c>
      <c r="K73" s="3"/>
      <c r="L73" s="3" t="s">
        <v>171</v>
      </c>
      <c r="M73" s="3" t="s">
        <v>155</v>
      </c>
      <c r="N73" s="5">
        <v>0.247</v>
      </c>
      <c r="O73" s="5">
        <v>7.0000000000000001E-3</v>
      </c>
      <c r="P73" s="5"/>
      <c r="Q73" s="5"/>
      <c r="R73" s="3" t="s">
        <v>719</v>
      </c>
      <c r="S73" s="3" t="s">
        <v>571</v>
      </c>
      <c r="T73" s="3"/>
      <c r="U73" s="3" t="s">
        <v>720</v>
      </c>
      <c r="V73" s="3" t="s">
        <v>166</v>
      </c>
      <c r="W73" s="3" t="s">
        <v>174</v>
      </c>
      <c r="X73" s="3" t="s">
        <v>721</v>
      </c>
    </row>
    <row r="74" spans="1:24" ht="46.05" customHeight="1">
      <c r="A74" s="3" t="s">
        <v>726</v>
      </c>
      <c r="B74" s="3" t="s">
        <v>161</v>
      </c>
      <c r="C74" s="3">
        <v>2008</v>
      </c>
      <c r="D74" s="3" t="s">
        <v>26</v>
      </c>
      <c r="E74" s="3" t="s">
        <v>717</v>
      </c>
      <c r="F74" s="3" t="s">
        <v>727</v>
      </c>
      <c r="G74" s="6">
        <v>27</v>
      </c>
      <c r="H74" s="3" t="s">
        <v>120</v>
      </c>
      <c r="I74" s="5">
        <v>29.4</v>
      </c>
      <c r="J74" s="5">
        <v>4.1900000000000004</v>
      </c>
      <c r="K74" s="3"/>
      <c r="L74" s="3" t="s">
        <v>171</v>
      </c>
      <c r="M74" s="3" t="s">
        <v>155</v>
      </c>
      <c r="N74" s="5">
        <v>0.251</v>
      </c>
      <c r="O74" s="5">
        <v>8.0000000000000002E-3</v>
      </c>
      <c r="P74" s="5"/>
      <c r="Q74" s="5"/>
      <c r="R74" s="3" t="s">
        <v>719</v>
      </c>
      <c r="S74" s="3" t="s">
        <v>571</v>
      </c>
      <c r="T74" s="3"/>
      <c r="U74" s="3" t="s">
        <v>720</v>
      </c>
      <c r="V74" s="3" t="s">
        <v>166</v>
      </c>
      <c r="W74" s="3" t="s">
        <v>174</v>
      </c>
      <c r="X74" s="3" t="s">
        <v>721</v>
      </c>
    </row>
    <row r="75" spans="1:24" ht="46.05" customHeight="1">
      <c r="A75" s="3" t="s">
        <v>728</v>
      </c>
      <c r="B75" s="3" t="s">
        <v>176</v>
      </c>
      <c r="C75" s="3">
        <v>2011</v>
      </c>
      <c r="D75" s="3" t="s">
        <v>24</v>
      </c>
      <c r="E75" s="3" t="s">
        <v>729</v>
      </c>
      <c r="F75" s="3" t="s">
        <v>730</v>
      </c>
      <c r="G75" s="6">
        <v>9</v>
      </c>
      <c r="H75" s="3" t="s">
        <v>120</v>
      </c>
      <c r="I75" s="5">
        <v>22</v>
      </c>
      <c r="J75" s="5">
        <v>3.5</v>
      </c>
      <c r="K75" s="3"/>
      <c r="L75" s="3" t="s">
        <v>186</v>
      </c>
      <c r="M75" s="3" t="s">
        <v>187</v>
      </c>
      <c r="N75" s="5">
        <v>43.4</v>
      </c>
      <c r="O75" s="5">
        <v>5.9</v>
      </c>
      <c r="P75" s="5"/>
      <c r="Q75" s="5"/>
      <c r="R75" s="3" t="s">
        <v>560</v>
      </c>
      <c r="S75" s="3" t="s">
        <v>571</v>
      </c>
      <c r="T75" s="3"/>
      <c r="U75" s="3"/>
      <c r="V75" s="3" t="s">
        <v>181</v>
      </c>
      <c r="W75" s="3" t="s">
        <v>190</v>
      </c>
      <c r="X75" s="3" t="s">
        <v>191</v>
      </c>
    </row>
    <row r="76" spans="1:24" ht="46.05" customHeight="1">
      <c r="A76" s="3" t="s">
        <v>731</v>
      </c>
      <c r="B76" s="3" t="s">
        <v>176</v>
      </c>
      <c r="C76" s="3">
        <v>2011</v>
      </c>
      <c r="D76" s="3" t="s">
        <v>24</v>
      </c>
      <c r="E76" s="3" t="s">
        <v>729</v>
      </c>
      <c r="F76" s="3" t="s">
        <v>732</v>
      </c>
      <c r="G76" s="6">
        <v>9</v>
      </c>
      <c r="H76" s="3" t="s">
        <v>120</v>
      </c>
      <c r="I76" s="5">
        <v>22</v>
      </c>
      <c r="J76" s="5">
        <v>3.5</v>
      </c>
      <c r="K76" s="3"/>
      <c r="L76" s="3" t="s">
        <v>186</v>
      </c>
      <c r="M76" s="3" t="s">
        <v>187</v>
      </c>
      <c r="N76" s="5">
        <v>41.1</v>
      </c>
      <c r="O76" s="5">
        <v>5.0999999999999996</v>
      </c>
      <c r="P76" s="5"/>
      <c r="Q76" s="5"/>
      <c r="R76" s="3" t="s">
        <v>560</v>
      </c>
      <c r="S76" s="3" t="s">
        <v>571</v>
      </c>
      <c r="T76" s="3"/>
      <c r="U76" s="3"/>
      <c r="V76" s="3" t="s">
        <v>181</v>
      </c>
      <c r="W76" s="3" t="s">
        <v>190</v>
      </c>
      <c r="X76" s="3" t="s">
        <v>191</v>
      </c>
    </row>
    <row r="77" spans="1:24" ht="46.05" customHeight="1">
      <c r="A77" s="3" t="s">
        <v>733</v>
      </c>
      <c r="B77" s="3" t="s">
        <v>176</v>
      </c>
      <c r="C77" s="3">
        <v>2011</v>
      </c>
      <c r="D77" s="3" t="s">
        <v>24</v>
      </c>
      <c r="E77" s="3" t="s">
        <v>729</v>
      </c>
      <c r="F77" s="3" t="s">
        <v>734</v>
      </c>
      <c r="G77" s="6">
        <v>9</v>
      </c>
      <c r="H77" s="3" t="s">
        <v>120</v>
      </c>
      <c r="I77" s="5">
        <v>22</v>
      </c>
      <c r="J77" s="5">
        <v>3.5</v>
      </c>
      <c r="K77" s="3"/>
      <c r="L77" s="3" t="s">
        <v>186</v>
      </c>
      <c r="M77" s="3" t="s">
        <v>187</v>
      </c>
      <c r="N77" s="5">
        <v>24.7</v>
      </c>
      <c r="O77" s="5">
        <v>6.1</v>
      </c>
      <c r="P77" s="5"/>
      <c r="Q77" s="5"/>
      <c r="R77" s="3" t="s">
        <v>560</v>
      </c>
      <c r="S77" s="3" t="s">
        <v>571</v>
      </c>
      <c r="T77" s="3"/>
      <c r="U77" s="3"/>
      <c r="V77" s="3" t="s">
        <v>181</v>
      </c>
      <c r="W77" s="3" t="s">
        <v>190</v>
      </c>
      <c r="X77" s="3" t="s">
        <v>191</v>
      </c>
    </row>
    <row r="78" spans="1:24" ht="46.05" customHeight="1">
      <c r="A78" s="3" t="s">
        <v>735</v>
      </c>
      <c r="B78" s="3" t="s">
        <v>176</v>
      </c>
      <c r="C78" s="3">
        <v>2011</v>
      </c>
      <c r="D78" s="3" t="s">
        <v>24</v>
      </c>
      <c r="E78" s="3" t="s">
        <v>729</v>
      </c>
      <c r="F78" s="3" t="s">
        <v>736</v>
      </c>
      <c r="G78" s="6">
        <v>9</v>
      </c>
      <c r="H78" s="3" t="s">
        <v>120</v>
      </c>
      <c r="I78" s="5">
        <v>22</v>
      </c>
      <c r="J78" s="5">
        <v>3.5</v>
      </c>
      <c r="K78" s="3"/>
      <c r="L78" s="3" t="s">
        <v>186</v>
      </c>
      <c r="M78" s="3" t="s">
        <v>187</v>
      </c>
      <c r="N78" s="5">
        <v>30.4</v>
      </c>
      <c r="O78" s="5">
        <v>5.8</v>
      </c>
      <c r="P78" s="5"/>
      <c r="Q78" s="5"/>
      <c r="R78" s="3" t="s">
        <v>560</v>
      </c>
      <c r="S78" s="3" t="s">
        <v>571</v>
      </c>
      <c r="T78" s="3"/>
      <c r="U78" s="3"/>
      <c r="V78" s="3" t="s">
        <v>181</v>
      </c>
      <c r="W78" s="3" t="s">
        <v>190</v>
      </c>
      <c r="X78" s="3" t="s">
        <v>191</v>
      </c>
    </row>
    <row r="79" spans="1:24" ht="46.05" customHeight="1">
      <c r="A79" s="3" t="s">
        <v>737</v>
      </c>
      <c r="B79" s="3" t="s">
        <v>176</v>
      </c>
      <c r="C79" s="3">
        <v>2011</v>
      </c>
      <c r="D79" s="3" t="s">
        <v>24</v>
      </c>
      <c r="E79" s="3" t="s">
        <v>729</v>
      </c>
      <c r="F79" s="3" t="s">
        <v>738</v>
      </c>
      <c r="G79" s="6">
        <v>9</v>
      </c>
      <c r="H79" s="3" t="s">
        <v>120</v>
      </c>
      <c r="I79" s="5">
        <v>22</v>
      </c>
      <c r="J79" s="5">
        <v>3.5</v>
      </c>
      <c r="K79" s="3"/>
      <c r="L79" s="3" t="s">
        <v>186</v>
      </c>
      <c r="M79" s="3" t="s">
        <v>187</v>
      </c>
      <c r="N79" s="5">
        <v>38.299999999999997</v>
      </c>
      <c r="O79" s="5">
        <v>6.5</v>
      </c>
      <c r="P79" s="5"/>
      <c r="Q79" s="5"/>
      <c r="R79" s="3" t="s">
        <v>560</v>
      </c>
      <c r="S79" s="3" t="s">
        <v>571</v>
      </c>
      <c r="T79" s="3"/>
      <c r="U79" s="3"/>
      <c r="V79" s="3" t="s">
        <v>181</v>
      </c>
      <c r="W79" s="3" t="s">
        <v>190</v>
      </c>
      <c r="X79" s="3" t="s">
        <v>191</v>
      </c>
    </row>
    <row r="80" spans="1:24" ht="46.05" customHeight="1">
      <c r="A80" s="3" t="s">
        <v>739</v>
      </c>
      <c r="B80" s="3" t="s">
        <v>176</v>
      </c>
      <c r="C80" s="3">
        <v>2011</v>
      </c>
      <c r="D80" s="3" t="s">
        <v>24</v>
      </c>
      <c r="E80" s="3" t="s">
        <v>554</v>
      </c>
      <c r="F80" s="3" t="s">
        <v>740</v>
      </c>
      <c r="G80" s="6">
        <v>9</v>
      </c>
      <c r="H80" s="3" t="s">
        <v>120</v>
      </c>
      <c r="I80" s="5"/>
      <c r="J80" s="5"/>
      <c r="K80" s="3"/>
      <c r="L80" s="3" t="s">
        <v>186</v>
      </c>
      <c r="M80" s="3" t="s">
        <v>187</v>
      </c>
      <c r="N80" s="5">
        <v>9.4</v>
      </c>
      <c r="O80" s="5">
        <v>2.2000000000000002</v>
      </c>
      <c r="P80" s="5"/>
      <c r="Q80" s="5"/>
      <c r="R80" s="3" t="s">
        <v>555</v>
      </c>
      <c r="S80" s="3" t="s">
        <v>571</v>
      </c>
      <c r="T80" s="3"/>
      <c r="U80" s="3"/>
      <c r="V80" s="3" t="s">
        <v>181</v>
      </c>
      <c r="W80" s="3" t="s">
        <v>190</v>
      </c>
      <c r="X80" s="3" t="s">
        <v>191</v>
      </c>
    </row>
    <row r="81" spans="1:24" ht="46.05" customHeight="1">
      <c r="A81" s="3" t="s">
        <v>741</v>
      </c>
      <c r="B81" s="3" t="s">
        <v>176</v>
      </c>
      <c r="C81" s="3">
        <v>2011</v>
      </c>
      <c r="D81" s="3" t="s">
        <v>24</v>
      </c>
      <c r="E81" s="3" t="s">
        <v>554</v>
      </c>
      <c r="F81" s="3" t="s">
        <v>742</v>
      </c>
      <c r="G81" s="6">
        <v>9</v>
      </c>
      <c r="H81" s="3" t="s">
        <v>120</v>
      </c>
      <c r="I81" s="5"/>
      <c r="J81" s="5"/>
      <c r="K81" s="3"/>
      <c r="L81" s="3" t="s">
        <v>186</v>
      </c>
      <c r="M81" s="3" t="s">
        <v>187</v>
      </c>
      <c r="N81" s="5">
        <v>6.1</v>
      </c>
      <c r="O81" s="5">
        <v>2.2999999999999998</v>
      </c>
      <c r="P81" s="5"/>
      <c r="Q81" s="5"/>
      <c r="R81" s="3" t="s">
        <v>555</v>
      </c>
      <c r="S81" s="3" t="s">
        <v>571</v>
      </c>
      <c r="T81" s="3"/>
      <c r="U81" s="3"/>
      <c r="V81" s="3" t="s">
        <v>181</v>
      </c>
      <c r="W81" s="3" t="s">
        <v>190</v>
      </c>
      <c r="X81" s="3" t="s">
        <v>191</v>
      </c>
    </row>
    <row r="82" spans="1:24" ht="46.05" customHeight="1">
      <c r="A82" s="3" t="s">
        <v>743</v>
      </c>
      <c r="B82" s="3" t="s">
        <v>176</v>
      </c>
      <c r="C82" s="3">
        <v>2011</v>
      </c>
      <c r="D82" s="3" t="s">
        <v>24</v>
      </c>
      <c r="E82" s="3" t="s">
        <v>744</v>
      </c>
      <c r="F82" s="3" t="s">
        <v>730</v>
      </c>
      <c r="G82" s="6">
        <v>9</v>
      </c>
      <c r="H82" s="3" t="s">
        <v>120</v>
      </c>
      <c r="I82" s="5"/>
      <c r="J82" s="5"/>
      <c r="K82" s="3"/>
      <c r="L82" s="3" t="s">
        <v>186</v>
      </c>
      <c r="M82" s="3" t="s">
        <v>187</v>
      </c>
      <c r="N82" s="5">
        <v>85.5</v>
      </c>
      <c r="O82" s="5">
        <v>5.9</v>
      </c>
      <c r="P82" s="5"/>
      <c r="Q82" s="5"/>
      <c r="R82" s="3" t="s">
        <v>745</v>
      </c>
      <c r="S82" s="3" t="s">
        <v>571</v>
      </c>
      <c r="T82" s="3"/>
      <c r="U82" s="3"/>
      <c r="V82" s="3" t="s">
        <v>181</v>
      </c>
      <c r="W82" s="3" t="s">
        <v>190</v>
      </c>
      <c r="X82" s="3" t="s">
        <v>191</v>
      </c>
    </row>
    <row r="83" spans="1:24" ht="46.05" customHeight="1">
      <c r="A83" s="3" t="s">
        <v>746</v>
      </c>
      <c r="B83" s="3" t="s">
        <v>176</v>
      </c>
      <c r="C83" s="3">
        <v>2011</v>
      </c>
      <c r="D83" s="3" t="s">
        <v>24</v>
      </c>
      <c r="E83" s="3" t="s">
        <v>744</v>
      </c>
      <c r="F83" s="3" t="s">
        <v>732</v>
      </c>
      <c r="G83" s="6">
        <v>9</v>
      </c>
      <c r="H83" s="3" t="s">
        <v>120</v>
      </c>
      <c r="I83" s="5"/>
      <c r="J83" s="5"/>
      <c r="K83" s="3"/>
      <c r="L83" s="3" t="s">
        <v>186</v>
      </c>
      <c r="M83" s="3" t="s">
        <v>187</v>
      </c>
      <c r="N83" s="5">
        <v>83.6</v>
      </c>
      <c r="O83" s="5">
        <v>6.3</v>
      </c>
      <c r="P83" s="5"/>
      <c r="Q83" s="5"/>
      <c r="R83" s="3" t="s">
        <v>745</v>
      </c>
      <c r="S83" s="3" t="s">
        <v>571</v>
      </c>
      <c r="T83" s="3"/>
      <c r="U83" s="3"/>
      <c r="V83" s="3" t="s">
        <v>181</v>
      </c>
      <c r="W83" s="3" t="s">
        <v>190</v>
      </c>
      <c r="X83" s="3" t="s">
        <v>191</v>
      </c>
    </row>
    <row r="84" spans="1:24" ht="46.05" customHeight="1">
      <c r="A84" s="3" t="s">
        <v>747</v>
      </c>
      <c r="B84" s="3" t="s">
        <v>176</v>
      </c>
      <c r="C84" s="3">
        <v>2011</v>
      </c>
      <c r="D84" s="3" t="s">
        <v>24</v>
      </c>
      <c r="E84" s="3" t="s">
        <v>744</v>
      </c>
      <c r="F84" s="3" t="s">
        <v>748</v>
      </c>
      <c r="G84" s="6">
        <v>9</v>
      </c>
      <c r="H84" s="3" t="s">
        <v>120</v>
      </c>
      <c r="I84" s="5"/>
      <c r="J84" s="5"/>
      <c r="K84" s="3"/>
      <c r="L84" s="3" t="s">
        <v>186</v>
      </c>
      <c r="M84" s="3" t="s">
        <v>187</v>
      </c>
      <c r="N84" s="5">
        <v>67.5</v>
      </c>
      <c r="O84" s="5">
        <v>3.5</v>
      </c>
      <c r="P84" s="5"/>
      <c r="Q84" s="5"/>
      <c r="R84" s="3" t="s">
        <v>745</v>
      </c>
      <c r="S84" s="3" t="s">
        <v>571</v>
      </c>
      <c r="T84" s="3"/>
      <c r="U84" s="3"/>
      <c r="V84" s="3" t="s">
        <v>181</v>
      </c>
      <c r="W84" s="3" t="s">
        <v>190</v>
      </c>
      <c r="X84" s="3" t="s">
        <v>191</v>
      </c>
    </row>
    <row r="85" spans="1:24" ht="46.05" customHeight="1">
      <c r="A85" s="3" t="s">
        <v>749</v>
      </c>
      <c r="B85" s="3" t="s">
        <v>176</v>
      </c>
      <c r="C85" s="3">
        <v>2011</v>
      </c>
      <c r="D85" s="3" t="s">
        <v>24</v>
      </c>
      <c r="E85" s="3" t="s">
        <v>744</v>
      </c>
      <c r="F85" s="3" t="s">
        <v>750</v>
      </c>
      <c r="G85" s="6">
        <v>9</v>
      </c>
      <c r="H85" s="3" t="s">
        <v>120</v>
      </c>
      <c r="I85" s="5"/>
      <c r="J85" s="5"/>
      <c r="K85" s="3"/>
      <c r="L85" s="3" t="s">
        <v>186</v>
      </c>
      <c r="M85" s="3" t="s">
        <v>187</v>
      </c>
      <c r="N85" s="5">
        <v>74.8</v>
      </c>
      <c r="O85" s="5">
        <v>5.9</v>
      </c>
      <c r="P85" s="5"/>
      <c r="Q85" s="5"/>
      <c r="R85" s="3" t="s">
        <v>745</v>
      </c>
      <c r="S85" s="3" t="s">
        <v>571</v>
      </c>
      <c r="T85" s="3"/>
      <c r="U85" s="3"/>
      <c r="V85" s="3" t="s">
        <v>181</v>
      </c>
      <c r="W85" s="3" t="s">
        <v>190</v>
      </c>
      <c r="X85" s="3" t="s">
        <v>191</v>
      </c>
    </row>
    <row r="86" spans="1:24" ht="46.05" customHeight="1">
      <c r="A86" s="3" t="s">
        <v>751</v>
      </c>
      <c r="B86" s="3" t="s">
        <v>176</v>
      </c>
      <c r="C86" s="3">
        <v>2011</v>
      </c>
      <c r="D86" s="3" t="s">
        <v>24</v>
      </c>
      <c r="E86" s="3" t="s">
        <v>744</v>
      </c>
      <c r="F86" s="3" t="s">
        <v>752</v>
      </c>
      <c r="G86" s="6">
        <v>9</v>
      </c>
      <c r="H86" s="3" t="s">
        <v>120</v>
      </c>
      <c r="I86" s="5"/>
      <c r="J86" s="5"/>
      <c r="K86" s="3"/>
      <c r="L86" s="3" t="s">
        <v>186</v>
      </c>
      <c r="M86" s="3" t="s">
        <v>187</v>
      </c>
      <c r="N86" s="5">
        <v>83</v>
      </c>
      <c r="O86" s="5">
        <v>6</v>
      </c>
      <c r="P86" s="5"/>
      <c r="Q86" s="5"/>
      <c r="R86" s="3" t="s">
        <v>745</v>
      </c>
      <c r="S86" s="3" t="s">
        <v>571</v>
      </c>
      <c r="T86" s="3"/>
      <c r="U86" s="3"/>
      <c r="V86" s="3" t="s">
        <v>181</v>
      </c>
      <c r="W86" s="3" t="s">
        <v>190</v>
      </c>
      <c r="X86" s="3" t="s">
        <v>191</v>
      </c>
    </row>
    <row r="87" spans="1:24" ht="46.05" customHeight="1">
      <c r="A87" s="3" t="s">
        <v>753</v>
      </c>
      <c r="B87" s="3" t="s">
        <v>192</v>
      </c>
      <c r="C87" s="3">
        <v>2014</v>
      </c>
      <c r="D87" s="3" t="s">
        <v>27</v>
      </c>
      <c r="E87" s="3" t="s">
        <v>754</v>
      </c>
      <c r="F87" s="3" t="s">
        <v>755</v>
      </c>
      <c r="G87" s="6">
        <v>39</v>
      </c>
      <c r="H87" s="3" t="s">
        <v>120</v>
      </c>
      <c r="I87" s="5">
        <v>25.1</v>
      </c>
      <c r="J87" s="5">
        <v>3.6</v>
      </c>
      <c r="K87" s="3"/>
      <c r="L87" s="3" t="s">
        <v>202</v>
      </c>
      <c r="M87" s="3" t="s">
        <v>203</v>
      </c>
      <c r="N87" s="5">
        <v>1.4</v>
      </c>
      <c r="O87" s="5"/>
      <c r="P87" s="5"/>
      <c r="Q87" s="5"/>
      <c r="R87" s="3" t="s">
        <v>756</v>
      </c>
      <c r="S87" s="3" t="s">
        <v>757</v>
      </c>
      <c r="T87" s="3"/>
      <c r="U87" s="3"/>
      <c r="V87" s="3" t="s">
        <v>197</v>
      </c>
      <c r="W87" s="3" t="s">
        <v>206</v>
      </c>
      <c r="X87" s="3" t="s">
        <v>207</v>
      </c>
    </row>
    <row r="88" spans="1:24" ht="46.05" customHeight="1">
      <c r="A88" s="3" t="s">
        <v>758</v>
      </c>
      <c r="B88" s="3" t="s">
        <v>192</v>
      </c>
      <c r="C88" s="3">
        <v>2014</v>
      </c>
      <c r="D88" s="3" t="s">
        <v>27</v>
      </c>
      <c r="E88" s="3" t="s">
        <v>759</v>
      </c>
      <c r="F88" s="3" t="s">
        <v>760</v>
      </c>
      <c r="G88" s="6">
        <v>39</v>
      </c>
      <c r="H88" s="3" t="s">
        <v>120</v>
      </c>
      <c r="I88" s="5">
        <v>25.1</v>
      </c>
      <c r="J88" s="5">
        <v>3.6</v>
      </c>
      <c r="K88" s="3"/>
      <c r="L88" s="3" t="s">
        <v>202</v>
      </c>
      <c r="M88" s="3" t="s">
        <v>203</v>
      </c>
      <c r="N88" s="5">
        <v>20</v>
      </c>
      <c r="O88" s="5"/>
      <c r="P88" s="5"/>
      <c r="Q88" s="5"/>
      <c r="R88" s="3" t="s">
        <v>761</v>
      </c>
      <c r="S88" s="3" t="s">
        <v>757</v>
      </c>
      <c r="T88" s="3"/>
      <c r="U88" s="3"/>
      <c r="V88" s="3" t="s">
        <v>197</v>
      </c>
      <c r="W88" s="3" t="s">
        <v>206</v>
      </c>
      <c r="X88" s="3" t="s">
        <v>207</v>
      </c>
    </row>
    <row r="89" spans="1:24" ht="46.05" customHeight="1">
      <c r="A89" s="3" t="s">
        <v>762</v>
      </c>
      <c r="B89" s="3" t="s">
        <v>192</v>
      </c>
      <c r="C89" s="3">
        <v>2014</v>
      </c>
      <c r="D89" s="3" t="s">
        <v>27</v>
      </c>
      <c r="E89" s="3" t="s">
        <v>763</v>
      </c>
      <c r="F89" s="3" t="s">
        <v>760</v>
      </c>
      <c r="G89" s="6">
        <v>39</v>
      </c>
      <c r="H89" s="3" t="s">
        <v>120</v>
      </c>
      <c r="I89" s="5"/>
      <c r="J89" s="5"/>
      <c r="K89" s="3"/>
      <c r="L89" s="3" t="s">
        <v>202</v>
      </c>
      <c r="M89" s="3" t="s">
        <v>203</v>
      </c>
      <c r="N89" s="5">
        <v>2.5</v>
      </c>
      <c r="O89" s="5"/>
      <c r="P89" s="5"/>
      <c r="Q89" s="5"/>
      <c r="R89" s="3" t="s">
        <v>764</v>
      </c>
      <c r="S89" s="3" t="s">
        <v>757</v>
      </c>
      <c r="T89" s="3"/>
      <c r="U89" s="3"/>
      <c r="V89" s="3" t="s">
        <v>197</v>
      </c>
      <c r="W89" s="3" t="s">
        <v>206</v>
      </c>
      <c r="X89" s="3" t="s">
        <v>207</v>
      </c>
    </row>
    <row r="90" spans="1:24" ht="46.05" customHeight="1">
      <c r="A90" s="3" t="s">
        <v>765</v>
      </c>
      <c r="B90" s="3" t="s">
        <v>192</v>
      </c>
      <c r="C90" s="3">
        <v>2014</v>
      </c>
      <c r="D90" s="3" t="s">
        <v>27</v>
      </c>
      <c r="E90" s="3" t="s">
        <v>766</v>
      </c>
      <c r="F90" s="3" t="s">
        <v>760</v>
      </c>
      <c r="G90" s="6">
        <v>39</v>
      </c>
      <c r="H90" s="3" t="s">
        <v>120</v>
      </c>
      <c r="I90" s="5"/>
      <c r="J90" s="5"/>
      <c r="K90" s="3"/>
      <c r="L90" s="3" t="s">
        <v>202</v>
      </c>
      <c r="M90" s="3" t="s">
        <v>203</v>
      </c>
      <c r="N90" s="5">
        <v>47</v>
      </c>
      <c r="O90" s="5"/>
      <c r="P90" s="5"/>
      <c r="Q90" s="5"/>
      <c r="R90" s="3" t="s">
        <v>764</v>
      </c>
      <c r="S90" s="3" t="s">
        <v>757</v>
      </c>
      <c r="T90" s="3"/>
      <c r="U90" s="3"/>
      <c r="V90" s="3" t="s">
        <v>197</v>
      </c>
      <c r="W90" s="3" t="s">
        <v>206</v>
      </c>
      <c r="X90" s="3" t="s">
        <v>207</v>
      </c>
    </row>
    <row r="91" spans="1:24" ht="46.05" customHeight="1">
      <c r="A91" s="3" t="s">
        <v>767</v>
      </c>
      <c r="B91" s="3" t="s">
        <v>192</v>
      </c>
      <c r="C91" s="3">
        <v>2014</v>
      </c>
      <c r="D91" s="3" t="s">
        <v>27</v>
      </c>
      <c r="E91" s="3" t="s">
        <v>768</v>
      </c>
      <c r="F91" s="3" t="s">
        <v>769</v>
      </c>
      <c r="G91" s="6">
        <v>39</v>
      </c>
      <c r="H91" s="3" t="s">
        <v>120</v>
      </c>
      <c r="I91" s="5"/>
      <c r="J91" s="5"/>
      <c r="K91" s="3"/>
      <c r="L91" s="3" t="s">
        <v>202</v>
      </c>
      <c r="M91" s="3" t="s">
        <v>203</v>
      </c>
      <c r="N91" s="5"/>
      <c r="O91" s="5"/>
      <c r="P91" s="5"/>
      <c r="Q91" s="5"/>
      <c r="R91" s="3" t="s">
        <v>770</v>
      </c>
      <c r="S91" s="3" t="s">
        <v>771</v>
      </c>
      <c r="T91" s="3" t="s">
        <v>772</v>
      </c>
      <c r="U91" s="3" t="s">
        <v>773</v>
      </c>
      <c r="V91" s="3" t="s">
        <v>197</v>
      </c>
      <c r="W91" s="3" t="s">
        <v>206</v>
      </c>
      <c r="X91" s="3" t="s">
        <v>207</v>
      </c>
    </row>
    <row r="92" spans="1:24" ht="46.05" customHeight="1">
      <c r="A92" s="3" t="s">
        <v>774</v>
      </c>
      <c r="B92" s="3" t="s">
        <v>286</v>
      </c>
      <c r="C92" s="3">
        <v>2018</v>
      </c>
      <c r="D92" s="3" t="s">
        <v>27</v>
      </c>
      <c r="E92" s="3" t="s">
        <v>754</v>
      </c>
      <c r="F92" s="3" t="s">
        <v>775</v>
      </c>
      <c r="G92" s="6">
        <v>60</v>
      </c>
      <c r="H92" s="3" t="s">
        <v>120</v>
      </c>
      <c r="I92" s="5">
        <v>23.5</v>
      </c>
      <c r="J92" s="5">
        <v>2.8</v>
      </c>
      <c r="K92" s="3"/>
      <c r="L92" s="3" t="s">
        <v>296</v>
      </c>
      <c r="M92" s="3" t="s">
        <v>297</v>
      </c>
      <c r="N92" s="5">
        <v>1.55</v>
      </c>
      <c r="O92" s="5"/>
      <c r="P92" s="5"/>
      <c r="Q92" s="5"/>
      <c r="R92" s="3" t="s">
        <v>756</v>
      </c>
      <c r="S92" s="3" t="s">
        <v>757</v>
      </c>
      <c r="T92" s="3"/>
      <c r="U92" s="3"/>
      <c r="V92" s="3" t="s">
        <v>291</v>
      </c>
      <c r="W92" s="3" t="s">
        <v>190</v>
      </c>
      <c r="X92" s="3" t="s">
        <v>300</v>
      </c>
    </row>
    <row r="93" spans="1:24" ht="46.05" customHeight="1">
      <c r="A93" s="3" t="s">
        <v>776</v>
      </c>
      <c r="B93" s="3" t="s">
        <v>286</v>
      </c>
      <c r="C93" s="3">
        <v>2018</v>
      </c>
      <c r="D93" s="3" t="s">
        <v>27</v>
      </c>
      <c r="E93" s="3" t="s">
        <v>759</v>
      </c>
      <c r="F93" s="3" t="s">
        <v>777</v>
      </c>
      <c r="G93" s="6">
        <v>60</v>
      </c>
      <c r="H93" s="3" t="s">
        <v>120</v>
      </c>
      <c r="I93" s="5"/>
      <c r="J93" s="5"/>
      <c r="K93" s="3"/>
      <c r="L93" s="3" t="s">
        <v>296</v>
      </c>
      <c r="M93" s="3" t="s">
        <v>297</v>
      </c>
      <c r="N93" s="5">
        <v>21</v>
      </c>
      <c r="O93" s="5"/>
      <c r="P93" s="5"/>
      <c r="Q93" s="5"/>
      <c r="R93" s="3" t="s">
        <v>761</v>
      </c>
      <c r="S93" s="3" t="s">
        <v>757</v>
      </c>
      <c r="T93" s="3"/>
      <c r="U93" s="3"/>
      <c r="V93" s="3" t="s">
        <v>291</v>
      </c>
      <c r="W93" s="3" t="s">
        <v>190</v>
      </c>
      <c r="X93" s="3" t="s">
        <v>300</v>
      </c>
    </row>
    <row r="94" spans="1:24" ht="46.05" customHeight="1">
      <c r="A94" s="3" t="s">
        <v>778</v>
      </c>
      <c r="B94" s="3" t="s">
        <v>286</v>
      </c>
      <c r="C94" s="3">
        <v>2018</v>
      </c>
      <c r="D94" s="3" t="s">
        <v>27</v>
      </c>
      <c r="E94" s="3" t="s">
        <v>763</v>
      </c>
      <c r="F94" s="3" t="s">
        <v>777</v>
      </c>
      <c r="G94" s="6">
        <v>60</v>
      </c>
      <c r="H94" s="3" t="s">
        <v>120</v>
      </c>
      <c r="I94" s="5"/>
      <c r="J94" s="5"/>
      <c r="K94" s="3"/>
      <c r="L94" s="3" t="s">
        <v>296</v>
      </c>
      <c r="M94" s="3" t="s">
        <v>297</v>
      </c>
      <c r="N94" s="5">
        <v>3.6</v>
      </c>
      <c r="O94" s="5"/>
      <c r="P94" s="5"/>
      <c r="Q94" s="5"/>
      <c r="R94" s="3" t="s">
        <v>764</v>
      </c>
      <c r="S94" s="3" t="s">
        <v>757</v>
      </c>
      <c r="T94" s="3"/>
      <c r="U94" s="3"/>
      <c r="V94" s="3" t="s">
        <v>291</v>
      </c>
      <c r="W94" s="3" t="s">
        <v>190</v>
      </c>
      <c r="X94" s="3" t="s">
        <v>300</v>
      </c>
    </row>
    <row r="95" spans="1:24" ht="46.05" customHeight="1">
      <c r="A95" s="3" t="s">
        <v>779</v>
      </c>
      <c r="B95" s="3" t="s">
        <v>286</v>
      </c>
      <c r="C95" s="3">
        <v>2018</v>
      </c>
      <c r="D95" s="3" t="s">
        <v>27</v>
      </c>
      <c r="E95" s="3" t="s">
        <v>766</v>
      </c>
      <c r="F95" s="3" t="s">
        <v>777</v>
      </c>
      <c r="G95" s="6">
        <v>60</v>
      </c>
      <c r="H95" s="3" t="s">
        <v>120</v>
      </c>
      <c r="I95" s="5"/>
      <c r="J95" s="5"/>
      <c r="K95" s="3"/>
      <c r="L95" s="3" t="s">
        <v>296</v>
      </c>
      <c r="M95" s="3" t="s">
        <v>297</v>
      </c>
      <c r="N95" s="5">
        <v>56</v>
      </c>
      <c r="O95" s="5"/>
      <c r="P95" s="5"/>
      <c r="Q95" s="5"/>
      <c r="R95" s="3" t="s">
        <v>764</v>
      </c>
      <c r="S95" s="3" t="s">
        <v>757</v>
      </c>
      <c r="T95" s="3"/>
      <c r="U95" s="3"/>
      <c r="V95" s="3" t="s">
        <v>291</v>
      </c>
      <c r="W95" s="3" t="s">
        <v>190</v>
      </c>
      <c r="X95" s="3" t="s">
        <v>300</v>
      </c>
    </row>
    <row r="96" spans="1:24" ht="46.05" customHeight="1">
      <c r="A96" s="3" t="s">
        <v>780</v>
      </c>
      <c r="B96" s="3" t="s">
        <v>286</v>
      </c>
      <c r="C96" s="3">
        <v>2018</v>
      </c>
      <c r="D96" s="3" t="s">
        <v>27</v>
      </c>
      <c r="E96" s="3" t="s">
        <v>781</v>
      </c>
      <c r="F96" s="3" t="s">
        <v>769</v>
      </c>
      <c r="G96" s="6">
        <v>60</v>
      </c>
      <c r="H96" s="3" t="s">
        <v>120</v>
      </c>
      <c r="I96" s="5"/>
      <c r="J96" s="5"/>
      <c r="K96" s="3"/>
      <c r="L96" s="3" t="s">
        <v>296</v>
      </c>
      <c r="M96" s="3" t="s">
        <v>297</v>
      </c>
      <c r="N96" s="5"/>
      <c r="O96" s="5"/>
      <c r="P96" s="5"/>
      <c r="Q96" s="5"/>
      <c r="R96" s="3" t="s">
        <v>770</v>
      </c>
      <c r="S96" s="3" t="s">
        <v>771</v>
      </c>
      <c r="T96" s="3" t="s">
        <v>782</v>
      </c>
      <c r="U96" s="3" t="s">
        <v>783</v>
      </c>
      <c r="V96" s="3" t="s">
        <v>291</v>
      </c>
      <c r="W96" s="3" t="s">
        <v>190</v>
      </c>
      <c r="X96" s="3" t="s">
        <v>300</v>
      </c>
    </row>
    <row r="97" spans="1:24" ht="46.05" customHeight="1">
      <c r="A97" s="3" t="s">
        <v>784</v>
      </c>
      <c r="B97" s="3" t="s">
        <v>225</v>
      </c>
      <c r="C97" s="3">
        <v>2016</v>
      </c>
      <c r="D97" s="3" t="s">
        <v>582</v>
      </c>
      <c r="E97" s="3" t="s">
        <v>630</v>
      </c>
      <c r="F97" s="3" t="s">
        <v>785</v>
      </c>
      <c r="G97" s="6">
        <v>14</v>
      </c>
      <c r="H97" s="3" t="s">
        <v>120</v>
      </c>
      <c r="I97" s="5"/>
      <c r="J97" s="5"/>
      <c r="K97" s="3"/>
      <c r="L97" s="3" t="s">
        <v>786</v>
      </c>
      <c r="M97" s="3" t="s">
        <v>236</v>
      </c>
      <c r="N97" s="5">
        <v>9.68</v>
      </c>
      <c r="O97" s="5">
        <v>2.09</v>
      </c>
      <c r="P97" s="5"/>
      <c r="Q97" s="5"/>
      <c r="R97" s="3" t="s">
        <v>631</v>
      </c>
      <c r="S97" s="3" t="s">
        <v>571</v>
      </c>
      <c r="T97" s="3"/>
      <c r="U97" s="3" t="s">
        <v>787</v>
      </c>
      <c r="V97" s="3" t="s">
        <v>230</v>
      </c>
      <c r="W97" s="3" t="s">
        <v>239</v>
      </c>
      <c r="X97" s="3" t="s">
        <v>788</v>
      </c>
    </row>
    <row r="98" spans="1:24" ht="46.05" customHeight="1">
      <c r="A98" s="3" t="s">
        <v>789</v>
      </c>
      <c r="B98" s="3" t="s">
        <v>225</v>
      </c>
      <c r="C98" s="3">
        <v>2016</v>
      </c>
      <c r="D98" s="3" t="s">
        <v>582</v>
      </c>
      <c r="E98" s="3" t="s">
        <v>790</v>
      </c>
      <c r="F98" s="3" t="s">
        <v>785</v>
      </c>
      <c r="G98" s="6">
        <v>14</v>
      </c>
      <c r="H98" s="3" t="s">
        <v>120</v>
      </c>
      <c r="I98" s="5"/>
      <c r="J98" s="5"/>
      <c r="K98" s="3"/>
      <c r="L98" s="3" t="s">
        <v>786</v>
      </c>
      <c r="M98" s="3" t="s">
        <v>236</v>
      </c>
      <c r="N98" s="5">
        <v>19.510000000000002</v>
      </c>
      <c r="O98" s="5">
        <v>1.37</v>
      </c>
      <c r="P98" s="5"/>
      <c r="Q98" s="5"/>
      <c r="R98" s="3" t="s">
        <v>791</v>
      </c>
      <c r="S98" s="3" t="s">
        <v>571</v>
      </c>
      <c r="T98" s="3"/>
      <c r="U98" s="3" t="s">
        <v>787</v>
      </c>
      <c r="V98" s="3" t="s">
        <v>230</v>
      </c>
      <c r="W98" s="3" t="s">
        <v>239</v>
      </c>
      <c r="X98" s="3" t="s">
        <v>788</v>
      </c>
    </row>
    <row r="99" spans="1:24" ht="46.05" customHeight="1">
      <c r="A99" s="3" t="s">
        <v>792</v>
      </c>
      <c r="B99" s="3" t="s">
        <v>225</v>
      </c>
      <c r="C99" s="3">
        <v>2016</v>
      </c>
      <c r="D99" s="3" t="s">
        <v>24</v>
      </c>
      <c r="E99" s="3" t="s">
        <v>793</v>
      </c>
      <c r="F99" s="3" t="s">
        <v>785</v>
      </c>
      <c r="G99" s="6">
        <v>14</v>
      </c>
      <c r="H99" s="3" t="s">
        <v>120</v>
      </c>
      <c r="I99" s="5"/>
      <c r="J99" s="5"/>
      <c r="K99" s="3"/>
      <c r="L99" s="3" t="s">
        <v>786</v>
      </c>
      <c r="M99" s="3" t="s">
        <v>236</v>
      </c>
      <c r="N99" s="5">
        <v>6.37</v>
      </c>
      <c r="O99" s="5">
        <v>0.48</v>
      </c>
      <c r="P99" s="5"/>
      <c r="Q99" s="5"/>
      <c r="R99" s="3" t="s">
        <v>649</v>
      </c>
      <c r="S99" s="3" t="s">
        <v>571</v>
      </c>
      <c r="T99" s="3"/>
      <c r="U99" s="3" t="s">
        <v>787</v>
      </c>
      <c r="V99" s="3" t="s">
        <v>230</v>
      </c>
      <c r="W99" s="3" t="s">
        <v>239</v>
      </c>
      <c r="X99" s="3" t="s">
        <v>788</v>
      </c>
    </row>
    <row r="100" spans="1:24" ht="46.05" customHeight="1">
      <c r="A100" s="3" t="s">
        <v>794</v>
      </c>
      <c r="B100" s="3" t="s">
        <v>225</v>
      </c>
      <c r="C100" s="3">
        <v>2016</v>
      </c>
      <c r="D100" s="3" t="s">
        <v>24</v>
      </c>
      <c r="E100" s="3" t="s">
        <v>795</v>
      </c>
      <c r="F100" s="3" t="s">
        <v>785</v>
      </c>
      <c r="G100" s="6">
        <v>14</v>
      </c>
      <c r="H100" s="3" t="s">
        <v>120</v>
      </c>
      <c r="I100" s="5"/>
      <c r="J100" s="5"/>
      <c r="K100" s="3"/>
      <c r="L100" s="3" t="s">
        <v>786</v>
      </c>
      <c r="M100" s="3" t="s">
        <v>236</v>
      </c>
      <c r="N100" s="5">
        <v>8.02</v>
      </c>
      <c r="O100" s="5">
        <v>0.66</v>
      </c>
      <c r="P100" s="5"/>
      <c r="Q100" s="5"/>
      <c r="R100" s="3" t="s">
        <v>649</v>
      </c>
      <c r="S100" s="3" t="s">
        <v>571</v>
      </c>
      <c r="T100" s="3"/>
      <c r="U100" s="3" t="s">
        <v>787</v>
      </c>
      <c r="V100" s="3" t="s">
        <v>230</v>
      </c>
      <c r="W100" s="3" t="s">
        <v>239</v>
      </c>
      <c r="X100" s="3" t="s">
        <v>788</v>
      </c>
    </row>
    <row r="101" spans="1:24" ht="46.05" customHeight="1">
      <c r="A101" s="3" t="s">
        <v>796</v>
      </c>
      <c r="B101" s="3" t="s">
        <v>225</v>
      </c>
      <c r="C101" s="3">
        <v>2016</v>
      </c>
      <c r="D101" s="3" t="s">
        <v>24</v>
      </c>
      <c r="E101" s="3" t="s">
        <v>797</v>
      </c>
      <c r="F101" s="3" t="s">
        <v>785</v>
      </c>
      <c r="G101" s="6">
        <v>14</v>
      </c>
      <c r="H101" s="3" t="s">
        <v>120</v>
      </c>
      <c r="I101" s="5"/>
      <c r="J101" s="5"/>
      <c r="K101" s="3"/>
      <c r="L101" s="3" t="s">
        <v>786</v>
      </c>
      <c r="M101" s="3" t="s">
        <v>236</v>
      </c>
      <c r="N101" s="5">
        <v>4.29</v>
      </c>
      <c r="O101" s="5">
        <v>0.8</v>
      </c>
      <c r="P101" s="5"/>
      <c r="Q101" s="5"/>
      <c r="R101" s="3" t="s">
        <v>649</v>
      </c>
      <c r="S101" s="3" t="s">
        <v>571</v>
      </c>
      <c r="T101" s="3"/>
      <c r="U101" s="3" t="s">
        <v>787</v>
      </c>
      <c r="V101" s="3" t="s">
        <v>230</v>
      </c>
      <c r="W101" s="3" t="s">
        <v>239</v>
      </c>
      <c r="X101" s="3" t="s">
        <v>788</v>
      </c>
    </row>
    <row r="102" spans="1:24" ht="46.05" customHeight="1">
      <c r="A102" s="3" t="s">
        <v>798</v>
      </c>
      <c r="B102" s="3" t="s">
        <v>225</v>
      </c>
      <c r="C102" s="3">
        <v>2016</v>
      </c>
      <c r="D102" s="3" t="s">
        <v>24</v>
      </c>
      <c r="E102" s="3" t="s">
        <v>799</v>
      </c>
      <c r="F102" s="3" t="s">
        <v>785</v>
      </c>
      <c r="G102" s="6">
        <v>14</v>
      </c>
      <c r="H102" s="3" t="s">
        <v>120</v>
      </c>
      <c r="I102" s="5"/>
      <c r="J102" s="5"/>
      <c r="K102" s="3"/>
      <c r="L102" s="3" t="s">
        <v>786</v>
      </c>
      <c r="M102" s="3" t="s">
        <v>236</v>
      </c>
      <c r="N102" s="5">
        <v>12.29</v>
      </c>
      <c r="O102" s="5">
        <v>1.93</v>
      </c>
      <c r="P102" s="5"/>
      <c r="Q102" s="5"/>
      <c r="R102" s="3" t="s">
        <v>649</v>
      </c>
      <c r="S102" s="3" t="s">
        <v>571</v>
      </c>
      <c r="T102" s="3"/>
      <c r="U102" s="3" t="s">
        <v>787</v>
      </c>
      <c r="V102" s="3" t="s">
        <v>230</v>
      </c>
      <c r="W102" s="3" t="s">
        <v>239</v>
      </c>
      <c r="X102" s="3" t="s">
        <v>788</v>
      </c>
    </row>
    <row r="103" spans="1:24" ht="46.05" customHeight="1">
      <c r="A103" s="3" t="s">
        <v>800</v>
      </c>
      <c r="B103" s="3" t="s">
        <v>225</v>
      </c>
      <c r="C103" s="3">
        <v>2016</v>
      </c>
      <c r="D103" s="3" t="s">
        <v>24</v>
      </c>
      <c r="E103" s="3" t="s">
        <v>801</v>
      </c>
      <c r="F103" s="3" t="s">
        <v>785</v>
      </c>
      <c r="G103" s="6">
        <v>14</v>
      </c>
      <c r="H103" s="3" t="s">
        <v>120</v>
      </c>
      <c r="I103" s="5"/>
      <c r="J103" s="5"/>
      <c r="K103" s="3"/>
      <c r="L103" s="3" t="s">
        <v>786</v>
      </c>
      <c r="M103" s="3" t="s">
        <v>236</v>
      </c>
      <c r="N103" s="5">
        <v>78.81</v>
      </c>
      <c r="O103" s="5">
        <v>8.31</v>
      </c>
      <c r="P103" s="5"/>
      <c r="Q103" s="5"/>
      <c r="R103" s="3" t="s">
        <v>631</v>
      </c>
      <c r="S103" s="3" t="s">
        <v>571</v>
      </c>
      <c r="T103" s="3"/>
      <c r="U103" s="3" t="s">
        <v>787</v>
      </c>
      <c r="V103" s="3" t="s">
        <v>230</v>
      </c>
      <c r="W103" s="3" t="s">
        <v>239</v>
      </c>
      <c r="X103" s="3" t="s">
        <v>788</v>
      </c>
    </row>
    <row r="104" spans="1:24" ht="46.05" customHeight="1">
      <c r="A104" s="3" t="s">
        <v>802</v>
      </c>
      <c r="B104" s="3" t="s">
        <v>225</v>
      </c>
      <c r="C104" s="3">
        <v>2016</v>
      </c>
      <c r="D104" s="3" t="s">
        <v>24</v>
      </c>
      <c r="E104" s="3" t="s">
        <v>652</v>
      </c>
      <c r="F104" s="3" t="s">
        <v>785</v>
      </c>
      <c r="G104" s="6">
        <v>14</v>
      </c>
      <c r="H104" s="3" t="s">
        <v>120</v>
      </c>
      <c r="I104" s="5"/>
      <c r="J104" s="5"/>
      <c r="K104" s="3"/>
      <c r="L104" s="3" t="s">
        <v>786</v>
      </c>
      <c r="M104" s="3" t="s">
        <v>236</v>
      </c>
      <c r="N104" s="5">
        <v>186.25</v>
      </c>
      <c r="O104" s="5">
        <v>7.28</v>
      </c>
      <c r="P104" s="5"/>
      <c r="Q104" s="5"/>
      <c r="R104" s="3" t="s">
        <v>550</v>
      </c>
      <c r="S104" s="3" t="s">
        <v>571</v>
      </c>
      <c r="T104" s="3"/>
      <c r="U104" s="3" t="s">
        <v>787</v>
      </c>
      <c r="V104" s="3" t="s">
        <v>230</v>
      </c>
      <c r="W104" s="3" t="s">
        <v>239</v>
      </c>
      <c r="X104" s="3" t="s">
        <v>788</v>
      </c>
    </row>
    <row r="105" spans="1:24" ht="46.05" customHeight="1">
      <c r="A105" s="3" t="s">
        <v>803</v>
      </c>
      <c r="B105" s="3" t="s">
        <v>225</v>
      </c>
      <c r="C105" s="3">
        <v>2016</v>
      </c>
      <c r="D105" s="3" t="s">
        <v>24</v>
      </c>
      <c r="E105" s="3" t="s">
        <v>579</v>
      </c>
      <c r="F105" s="3" t="s">
        <v>785</v>
      </c>
      <c r="G105" s="6">
        <v>14</v>
      </c>
      <c r="H105" s="3" t="s">
        <v>120</v>
      </c>
      <c r="I105" s="5"/>
      <c r="J105" s="5"/>
      <c r="K105" s="3"/>
      <c r="L105" s="3" t="s">
        <v>786</v>
      </c>
      <c r="M105" s="3" t="s">
        <v>236</v>
      </c>
      <c r="N105" s="5">
        <v>65.03</v>
      </c>
      <c r="O105" s="5">
        <v>2.95</v>
      </c>
      <c r="P105" s="5"/>
      <c r="Q105" s="5"/>
      <c r="R105" s="3" t="s">
        <v>560</v>
      </c>
      <c r="S105" s="3" t="s">
        <v>571</v>
      </c>
      <c r="T105" s="3"/>
      <c r="U105" s="3" t="s">
        <v>787</v>
      </c>
      <c r="V105" s="3" t="s">
        <v>230</v>
      </c>
      <c r="W105" s="3" t="s">
        <v>239</v>
      </c>
      <c r="X105" s="3" t="s">
        <v>788</v>
      </c>
    </row>
    <row r="106" spans="1:24" ht="46.05" customHeight="1">
      <c r="A106" s="3" t="s">
        <v>804</v>
      </c>
      <c r="B106" s="3" t="s">
        <v>225</v>
      </c>
      <c r="C106" s="3">
        <v>2016</v>
      </c>
      <c r="D106" s="3" t="s">
        <v>582</v>
      </c>
      <c r="E106" s="3" t="s">
        <v>630</v>
      </c>
      <c r="F106" s="3" t="s">
        <v>805</v>
      </c>
      <c r="G106" s="6">
        <v>15</v>
      </c>
      <c r="H106" s="3" t="s">
        <v>120</v>
      </c>
      <c r="I106" s="5"/>
      <c r="J106" s="5"/>
      <c r="K106" s="3"/>
      <c r="L106" s="3" t="s">
        <v>786</v>
      </c>
      <c r="M106" s="3" t="s">
        <v>236</v>
      </c>
      <c r="N106" s="5">
        <v>11.94</v>
      </c>
      <c r="O106" s="5">
        <v>3.53</v>
      </c>
      <c r="P106" s="5"/>
      <c r="Q106" s="5"/>
      <c r="R106" s="3" t="s">
        <v>631</v>
      </c>
      <c r="S106" s="3" t="s">
        <v>571</v>
      </c>
      <c r="T106" s="3"/>
      <c r="U106" s="3" t="s">
        <v>787</v>
      </c>
      <c r="V106" s="3" t="s">
        <v>230</v>
      </c>
      <c r="W106" s="3" t="s">
        <v>239</v>
      </c>
      <c r="X106" s="3" t="s">
        <v>788</v>
      </c>
    </row>
    <row r="107" spans="1:24" ht="46.05" customHeight="1">
      <c r="A107" s="3" t="s">
        <v>806</v>
      </c>
      <c r="B107" s="3" t="s">
        <v>225</v>
      </c>
      <c r="C107" s="3">
        <v>2016</v>
      </c>
      <c r="D107" s="3" t="s">
        <v>582</v>
      </c>
      <c r="E107" s="3" t="s">
        <v>790</v>
      </c>
      <c r="F107" s="3" t="s">
        <v>805</v>
      </c>
      <c r="G107" s="6">
        <v>15</v>
      </c>
      <c r="H107" s="3" t="s">
        <v>120</v>
      </c>
      <c r="I107" s="5"/>
      <c r="J107" s="5"/>
      <c r="K107" s="3"/>
      <c r="L107" s="3" t="s">
        <v>786</v>
      </c>
      <c r="M107" s="3" t="s">
        <v>236</v>
      </c>
      <c r="N107" s="5">
        <v>22.77</v>
      </c>
      <c r="O107" s="5">
        <v>2.13</v>
      </c>
      <c r="P107" s="5"/>
      <c r="Q107" s="5"/>
      <c r="R107" s="3" t="s">
        <v>791</v>
      </c>
      <c r="S107" s="3" t="s">
        <v>571</v>
      </c>
      <c r="T107" s="3"/>
      <c r="U107" s="3" t="s">
        <v>787</v>
      </c>
      <c r="V107" s="3" t="s">
        <v>230</v>
      </c>
      <c r="W107" s="3" t="s">
        <v>239</v>
      </c>
      <c r="X107" s="3" t="s">
        <v>788</v>
      </c>
    </row>
    <row r="108" spans="1:24" ht="46.05" customHeight="1">
      <c r="A108" s="3" t="s">
        <v>807</v>
      </c>
      <c r="B108" s="3" t="s">
        <v>225</v>
      </c>
      <c r="C108" s="3">
        <v>2016</v>
      </c>
      <c r="D108" s="3" t="s">
        <v>24</v>
      </c>
      <c r="E108" s="3" t="s">
        <v>793</v>
      </c>
      <c r="F108" s="3" t="s">
        <v>805</v>
      </c>
      <c r="G108" s="6">
        <v>15</v>
      </c>
      <c r="H108" s="3" t="s">
        <v>120</v>
      </c>
      <c r="I108" s="5"/>
      <c r="J108" s="5"/>
      <c r="K108" s="3"/>
      <c r="L108" s="3" t="s">
        <v>786</v>
      </c>
      <c r="M108" s="3" t="s">
        <v>236</v>
      </c>
      <c r="N108" s="5">
        <v>6.82</v>
      </c>
      <c r="O108" s="5">
        <v>0.78</v>
      </c>
      <c r="P108" s="5"/>
      <c r="Q108" s="5"/>
      <c r="R108" s="3" t="s">
        <v>649</v>
      </c>
      <c r="S108" s="3" t="s">
        <v>571</v>
      </c>
      <c r="T108" s="3"/>
      <c r="U108" s="3" t="s">
        <v>787</v>
      </c>
      <c r="V108" s="3" t="s">
        <v>230</v>
      </c>
      <c r="W108" s="3" t="s">
        <v>239</v>
      </c>
      <c r="X108" s="3" t="s">
        <v>788</v>
      </c>
    </row>
    <row r="109" spans="1:24" ht="46.05" customHeight="1">
      <c r="A109" s="3" t="s">
        <v>808</v>
      </c>
      <c r="B109" s="3" t="s">
        <v>225</v>
      </c>
      <c r="C109" s="3">
        <v>2016</v>
      </c>
      <c r="D109" s="3" t="s">
        <v>24</v>
      </c>
      <c r="E109" s="3" t="s">
        <v>795</v>
      </c>
      <c r="F109" s="3" t="s">
        <v>805</v>
      </c>
      <c r="G109" s="6">
        <v>15</v>
      </c>
      <c r="H109" s="3" t="s">
        <v>120</v>
      </c>
      <c r="I109" s="5"/>
      <c r="J109" s="5"/>
      <c r="K109" s="3"/>
      <c r="L109" s="3" t="s">
        <v>786</v>
      </c>
      <c r="M109" s="3" t="s">
        <v>236</v>
      </c>
      <c r="N109" s="5">
        <v>8.81</v>
      </c>
      <c r="O109" s="5">
        <v>1.03</v>
      </c>
      <c r="P109" s="5"/>
      <c r="Q109" s="5"/>
      <c r="R109" s="3" t="s">
        <v>649</v>
      </c>
      <c r="S109" s="3" t="s">
        <v>571</v>
      </c>
      <c r="T109" s="3"/>
      <c r="U109" s="3" t="s">
        <v>787</v>
      </c>
      <c r="V109" s="3" t="s">
        <v>230</v>
      </c>
      <c r="W109" s="3" t="s">
        <v>239</v>
      </c>
      <c r="X109" s="3" t="s">
        <v>788</v>
      </c>
    </row>
    <row r="110" spans="1:24" ht="46.05" customHeight="1">
      <c r="A110" s="3" t="s">
        <v>809</v>
      </c>
      <c r="B110" s="3" t="s">
        <v>225</v>
      </c>
      <c r="C110" s="3">
        <v>2016</v>
      </c>
      <c r="D110" s="3" t="s">
        <v>24</v>
      </c>
      <c r="E110" s="3" t="s">
        <v>797</v>
      </c>
      <c r="F110" s="3" t="s">
        <v>805</v>
      </c>
      <c r="G110" s="6">
        <v>15</v>
      </c>
      <c r="H110" s="3" t="s">
        <v>120</v>
      </c>
      <c r="I110" s="5"/>
      <c r="J110" s="5"/>
      <c r="K110" s="3"/>
      <c r="L110" s="3" t="s">
        <v>786</v>
      </c>
      <c r="M110" s="3" t="s">
        <v>236</v>
      </c>
      <c r="N110" s="5">
        <v>4.41</v>
      </c>
      <c r="O110" s="5">
        <v>0.82</v>
      </c>
      <c r="P110" s="5"/>
      <c r="Q110" s="5"/>
      <c r="R110" s="3" t="s">
        <v>649</v>
      </c>
      <c r="S110" s="3" t="s">
        <v>571</v>
      </c>
      <c r="T110" s="3"/>
      <c r="U110" s="3" t="s">
        <v>787</v>
      </c>
      <c r="V110" s="3" t="s">
        <v>230</v>
      </c>
      <c r="W110" s="3" t="s">
        <v>239</v>
      </c>
      <c r="X110" s="3" t="s">
        <v>788</v>
      </c>
    </row>
    <row r="111" spans="1:24" ht="46.05" customHeight="1">
      <c r="A111" s="3" t="s">
        <v>810</v>
      </c>
      <c r="B111" s="3" t="s">
        <v>225</v>
      </c>
      <c r="C111" s="3">
        <v>2016</v>
      </c>
      <c r="D111" s="3" t="s">
        <v>24</v>
      </c>
      <c r="E111" s="3" t="s">
        <v>799</v>
      </c>
      <c r="F111" s="3" t="s">
        <v>805</v>
      </c>
      <c r="G111" s="6">
        <v>15</v>
      </c>
      <c r="H111" s="3" t="s">
        <v>120</v>
      </c>
      <c r="I111" s="5"/>
      <c r="J111" s="5"/>
      <c r="K111" s="3"/>
      <c r="L111" s="3" t="s">
        <v>786</v>
      </c>
      <c r="M111" s="3" t="s">
        <v>236</v>
      </c>
      <c r="N111" s="5">
        <v>14.16</v>
      </c>
      <c r="O111" s="5">
        <v>2.56</v>
      </c>
      <c r="P111" s="5"/>
      <c r="Q111" s="5"/>
      <c r="R111" s="3" t="s">
        <v>649</v>
      </c>
      <c r="S111" s="3" t="s">
        <v>571</v>
      </c>
      <c r="T111" s="3"/>
      <c r="U111" s="3" t="s">
        <v>787</v>
      </c>
      <c r="V111" s="3" t="s">
        <v>230</v>
      </c>
      <c r="W111" s="3" t="s">
        <v>239</v>
      </c>
      <c r="X111" s="3" t="s">
        <v>788</v>
      </c>
    </row>
    <row r="112" spans="1:24" ht="46.05" customHeight="1">
      <c r="A112" s="3" t="s">
        <v>811</v>
      </c>
      <c r="B112" s="3" t="s">
        <v>225</v>
      </c>
      <c r="C112" s="3">
        <v>2016</v>
      </c>
      <c r="D112" s="3" t="s">
        <v>24</v>
      </c>
      <c r="E112" s="3" t="s">
        <v>801</v>
      </c>
      <c r="F112" s="3" t="s">
        <v>805</v>
      </c>
      <c r="G112" s="6">
        <v>15</v>
      </c>
      <c r="H112" s="3" t="s">
        <v>120</v>
      </c>
      <c r="I112" s="5"/>
      <c r="J112" s="5"/>
      <c r="K112" s="3"/>
      <c r="L112" s="3" t="s">
        <v>786</v>
      </c>
      <c r="M112" s="3" t="s">
        <v>236</v>
      </c>
      <c r="N112" s="5">
        <v>84.31</v>
      </c>
      <c r="O112" s="5">
        <v>7.92</v>
      </c>
      <c r="P112" s="5"/>
      <c r="Q112" s="5"/>
      <c r="R112" s="3" t="s">
        <v>631</v>
      </c>
      <c r="S112" s="3" t="s">
        <v>571</v>
      </c>
      <c r="T112" s="3"/>
      <c r="U112" s="3" t="s">
        <v>787</v>
      </c>
      <c r="V112" s="3" t="s">
        <v>230</v>
      </c>
      <c r="W112" s="3" t="s">
        <v>239</v>
      </c>
      <c r="X112" s="3" t="s">
        <v>788</v>
      </c>
    </row>
    <row r="113" spans="1:24" ht="46.05" customHeight="1">
      <c r="A113" s="3" t="s">
        <v>812</v>
      </c>
      <c r="B113" s="3" t="s">
        <v>225</v>
      </c>
      <c r="C113" s="3">
        <v>2016</v>
      </c>
      <c r="D113" s="3" t="s">
        <v>24</v>
      </c>
      <c r="E113" s="3" t="s">
        <v>652</v>
      </c>
      <c r="F113" s="3" t="s">
        <v>805</v>
      </c>
      <c r="G113" s="6">
        <v>15</v>
      </c>
      <c r="H113" s="3" t="s">
        <v>120</v>
      </c>
      <c r="I113" s="5"/>
      <c r="J113" s="5"/>
      <c r="K113" s="3"/>
      <c r="L113" s="3" t="s">
        <v>786</v>
      </c>
      <c r="M113" s="3" t="s">
        <v>236</v>
      </c>
      <c r="N113" s="5">
        <v>184.33</v>
      </c>
      <c r="O113" s="5">
        <v>4.8899999999999997</v>
      </c>
      <c r="P113" s="5"/>
      <c r="Q113" s="5"/>
      <c r="R113" s="3" t="s">
        <v>550</v>
      </c>
      <c r="S113" s="3" t="s">
        <v>571</v>
      </c>
      <c r="T113" s="3"/>
      <c r="U113" s="3" t="s">
        <v>787</v>
      </c>
      <c r="V113" s="3" t="s">
        <v>230</v>
      </c>
      <c r="W113" s="3" t="s">
        <v>239</v>
      </c>
      <c r="X113" s="3" t="s">
        <v>788</v>
      </c>
    </row>
    <row r="114" spans="1:24" ht="46.05" customHeight="1">
      <c r="A114" s="3" t="s">
        <v>813</v>
      </c>
      <c r="B114" s="3" t="s">
        <v>225</v>
      </c>
      <c r="C114" s="3">
        <v>2016</v>
      </c>
      <c r="D114" s="3" t="s">
        <v>24</v>
      </c>
      <c r="E114" s="3" t="s">
        <v>579</v>
      </c>
      <c r="F114" s="3" t="s">
        <v>805</v>
      </c>
      <c r="G114" s="6">
        <v>15</v>
      </c>
      <c r="H114" s="3" t="s">
        <v>120</v>
      </c>
      <c r="I114" s="5"/>
      <c r="J114" s="5"/>
      <c r="K114" s="3"/>
      <c r="L114" s="3" t="s">
        <v>786</v>
      </c>
      <c r="M114" s="3" t="s">
        <v>236</v>
      </c>
      <c r="N114" s="5">
        <v>62.04</v>
      </c>
      <c r="O114" s="5">
        <v>2.89</v>
      </c>
      <c r="P114" s="5"/>
      <c r="Q114" s="5"/>
      <c r="R114" s="3" t="s">
        <v>560</v>
      </c>
      <c r="S114" s="3" t="s">
        <v>571</v>
      </c>
      <c r="T114" s="3"/>
      <c r="U114" s="3" t="s">
        <v>787</v>
      </c>
      <c r="V114" s="3" t="s">
        <v>230</v>
      </c>
      <c r="W114" s="3" t="s">
        <v>239</v>
      </c>
      <c r="X114" s="3" t="s">
        <v>788</v>
      </c>
    </row>
    <row r="115" spans="1:24" ht="46.05" customHeight="1">
      <c r="A115" s="3" t="s">
        <v>814</v>
      </c>
      <c r="B115" s="3" t="s">
        <v>225</v>
      </c>
      <c r="C115" s="3">
        <v>2016</v>
      </c>
      <c r="D115" s="3" t="s">
        <v>582</v>
      </c>
      <c r="E115" s="3" t="s">
        <v>630</v>
      </c>
      <c r="F115" s="3" t="s">
        <v>815</v>
      </c>
      <c r="G115" s="6">
        <v>14</v>
      </c>
      <c r="H115" s="3" t="s">
        <v>120</v>
      </c>
      <c r="I115" s="5"/>
      <c r="J115" s="5"/>
      <c r="K115" s="3"/>
      <c r="L115" s="3" t="s">
        <v>786</v>
      </c>
      <c r="M115" s="3" t="s">
        <v>236</v>
      </c>
      <c r="N115" s="5">
        <v>17.37</v>
      </c>
      <c r="O115" s="5">
        <v>9.73</v>
      </c>
      <c r="P115" s="5"/>
      <c r="Q115" s="5"/>
      <c r="R115" s="3" t="s">
        <v>631</v>
      </c>
      <c r="S115" s="3" t="s">
        <v>571</v>
      </c>
      <c r="T115" s="3"/>
      <c r="U115" s="3" t="s">
        <v>787</v>
      </c>
      <c r="V115" s="3" t="s">
        <v>230</v>
      </c>
      <c r="W115" s="3" t="s">
        <v>239</v>
      </c>
      <c r="X115" s="3" t="s">
        <v>788</v>
      </c>
    </row>
    <row r="116" spans="1:24" ht="46.05" customHeight="1">
      <c r="A116" s="3" t="s">
        <v>816</v>
      </c>
      <c r="B116" s="3" t="s">
        <v>225</v>
      </c>
      <c r="C116" s="3">
        <v>2016</v>
      </c>
      <c r="D116" s="3" t="s">
        <v>582</v>
      </c>
      <c r="E116" s="3" t="s">
        <v>790</v>
      </c>
      <c r="F116" s="3" t="s">
        <v>815</v>
      </c>
      <c r="G116" s="6">
        <v>14</v>
      </c>
      <c r="H116" s="3" t="s">
        <v>120</v>
      </c>
      <c r="I116" s="5"/>
      <c r="J116" s="5"/>
      <c r="K116" s="3"/>
      <c r="L116" s="3" t="s">
        <v>786</v>
      </c>
      <c r="M116" s="3" t="s">
        <v>236</v>
      </c>
      <c r="N116" s="5">
        <v>28.21</v>
      </c>
      <c r="O116" s="5">
        <v>4.5999999999999996</v>
      </c>
      <c r="P116" s="5"/>
      <c r="Q116" s="5"/>
      <c r="R116" s="3" t="s">
        <v>791</v>
      </c>
      <c r="S116" s="3" t="s">
        <v>571</v>
      </c>
      <c r="T116" s="3"/>
      <c r="U116" s="3" t="s">
        <v>787</v>
      </c>
      <c r="V116" s="3" t="s">
        <v>230</v>
      </c>
      <c r="W116" s="3" t="s">
        <v>239</v>
      </c>
      <c r="X116" s="3" t="s">
        <v>788</v>
      </c>
    </row>
    <row r="117" spans="1:24" ht="46.05" customHeight="1">
      <c r="A117" s="3" t="s">
        <v>817</v>
      </c>
      <c r="B117" s="3" t="s">
        <v>225</v>
      </c>
      <c r="C117" s="3">
        <v>2016</v>
      </c>
      <c r="D117" s="3" t="s">
        <v>24</v>
      </c>
      <c r="E117" s="3" t="s">
        <v>793</v>
      </c>
      <c r="F117" s="3" t="s">
        <v>815</v>
      </c>
      <c r="G117" s="6">
        <v>14</v>
      </c>
      <c r="H117" s="3" t="s">
        <v>120</v>
      </c>
      <c r="I117" s="5"/>
      <c r="J117" s="5"/>
      <c r="K117" s="3"/>
      <c r="L117" s="3" t="s">
        <v>786</v>
      </c>
      <c r="M117" s="3" t="s">
        <v>236</v>
      </c>
      <c r="N117" s="5">
        <v>6.45</v>
      </c>
      <c r="O117" s="5">
        <v>0.81</v>
      </c>
      <c r="P117" s="5"/>
      <c r="Q117" s="5"/>
      <c r="R117" s="3" t="s">
        <v>649</v>
      </c>
      <c r="S117" s="3" t="s">
        <v>571</v>
      </c>
      <c r="T117" s="3"/>
      <c r="U117" s="3" t="s">
        <v>787</v>
      </c>
      <c r="V117" s="3" t="s">
        <v>230</v>
      </c>
      <c r="W117" s="3" t="s">
        <v>239</v>
      </c>
      <c r="X117" s="3" t="s">
        <v>788</v>
      </c>
    </row>
    <row r="118" spans="1:24" ht="46.05" customHeight="1">
      <c r="A118" s="3" t="s">
        <v>818</v>
      </c>
      <c r="B118" s="3" t="s">
        <v>225</v>
      </c>
      <c r="C118" s="3">
        <v>2016</v>
      </c>
      <c r="D118" s="3" t="s">
        <v>24</v>
      </c>
      <c r="E118" s="3" t="s">
        <v>795</v>
      </c>
      <c r="F118" s="3" t="s">
        <v>815</v>
      </c>
      <c r="G118" s="6">
        <v>14</v>
      </c>
      <c r="H118" s="3" t="s">
        <v>120</v>
      </c>
      <c r="I118" s="5"/>
      <c r="J118" s="5"/>
      <c r="K118" s="3"/>
      <c r="L118" s="3" t="s">
        <v>786</v>
      </c>
      <c r="M118" s="3" t="s">
        <v>236</v>
      </c>
      <c r="N118" s="5">
        <v>8.4700000000000006</v>
      </c>
      <c r="O118" s="5">
        <v>1.03</v>
      </c>
      <c r="P118" s="5"/>
      <c r="Q118" s="5"/>
      <c r="R118" s="3" t="s">
        <v>649</v>
      </c>
      <c r="S118" s="3" t="s">
        <v>571</v>
      </c>
      <c r="T118" s="3"/>
      <c r="U118" s="3" t="s">
        <v>787</v>
      </c>
      <c r="V118" s="3" t="s">
        <v>230</v>
      </c>
      <c r="W118" s="3" t="s">
        <v>239</v>
      </c>
      <c r="X118" s="3" t="s">
        <v>788</v>
      </c>
    </row>
    <row r="119" spans="1:24" ht="46.05" customHeight="1">
      <c r="A119" s="3" t="s">
        <v>819</v>
      </c>
      <c r="B119" s="3" t="s">
        <v>225</v>
      </c>
      <c r="C119" s="3">
        <v>2016</v>
      </c>
      <c r="D119" s="3" t="s">
        <v>24</v>
      </c>
      <c r="E119" s="3" t="s">
        <v>797</v>
      </c>
      <c r="F119" s="3" t="s">
        <v>815</v>
      </c>
      <c r="G119" s="6">
        <v>14</v>
      </c>
      <c r="H119" s="3" t="s">
        <v>120</v>
      </c>
      <c r="I119" s="5"/>
      <c r="J119" s="5"/>
      <c r="K119" s="3"/>
      <c r="L119" s="3" t="s">
        <v>786</v>
      </c>
      <c r="M119" s="3" t="s">
        <v>236</v>
      </c>
      <c r="N119" s="5">
        <v>4.26</v>
      </c>
      <c r="O119" s="5">
        <v>0.95</v>
      </c>
      <c r="P119" s="5"/>
      <c r="Q119" s="5"/>
      <c r="R119" s="3" t="s">
        <v>649</v>
      </c>
      <c r="S119" s="3" t="s">
        <v>571</v>
      </c>
      <c r="T119" s="3"/>
      <c r="U119" s="3" t="s">
        <v>787</v>
      </c>
      <c r="V119" s="3" t="s">
        <v>230</v>
      </c>
      <c r="W119" s="3" t="s">
        <v>239</v>
      </c>
      <c r="X119" s="3" t="s">
        <v>788</v>
      </c>
    </row>
    <row r="120" spans="1:24" ht="46.05" customHeight="1">
      <c r="A120" s="3" t="s">
        <v>820</v>
      </c>
      <c r="B120" s="3" t="s">
        <v>225</v>
      </c>
      <c r="C120" s="3">
        <v>2016</v>
      </c>
      <c r="D120" s="3" t="s">
        <v>24</v>
      </c>
      <c r="E120" s="3" t="s">
        <v>799</v>
      </c>
      <c r="F120" s="3" t="s">
        <v>815</v>
      </c>
      <c r="G120" s="6">
        <v>14</v>
      </c>
      <c r="H120" s="3" t="s">
        <v>120</v>
      </c>
      <c r="I120" s="5"/>
      <c r="J120" s="5"/>
      <c r="K120" s="3"/>
      <c r="L120" s="3" t="s">
        <v>786</v>
      </c>
      <c r="M120" s="3" t="s">
        <v>236</v>
      </c>
      <c r="N120" s="5">
        <v>14.75</v>
      </c>
      <c r="O120" s="5">
        <v>1.7470000000000001</v>
      </c>
      <c r="P120" s="5"/>
      <c r="Q120" s="5"/>
      <c r="R120" s="3" t="s">
        <v>649</v>
      </c>
      <c r="S120" s="3" t="s">
        <v>571</v>
      </c>
      <c r="T120" s="3"/>
      <c r="U120" s="3" t="s">
        <v>787</v>
      </c>
      <c r="V120" s="3" t="s">
        <v>230</v>
      </c>
      <c r="W120" s="3" t="s">
        <v>239</v>
      </c>
      <c r="X120" s="3" t="s">
        <v>788</v>
      </c>
    </row>
    <row r="121" spans="1:24" ht="46.05" customHeight="1">
      <c r="A121" s="3" t="s">
        <v>821</v>
      </c>
      <c r="B121" s="3" t="s">
        <v>225</v>
      </c>
      <c r="C121" s="3">
        <v>2016</v>
      </c>
      <c r="D121" s="3" t="s">
        <v>24</v>
      </c>
      <c r="E121" s="3" t="s">
        <v>801</v>
      </c>
      <c r="F121" s="3" t="s">
        <v>815</v>
      </c>
      <c r="G121" s="6">
        <v>14</v>
      </c>
      <c r="H121" s="3" t="s">
        <v>120</v>
      </c>
      <c r="I121" s="5"/>
      <c r="J121" s="5"/>
      <c r="K121" s="3"/>
      <c r="L121" s="3" t="s">
        <v>786</v>
      </c>
      <c r="M121" s="3" t="s">
        <v>236</v>
      </c>
      <c r="N121" s="5">
        <v>87.16</v>
      </c>
      <c r="O121" s="5">
        <v>7.94</v>
      </c>
      <c r="P121" s="5"/>
      <c r="Q121" s="5"/>
      <c r="R121" s="3" t="s">
        <v>631</v>
      </c>
      <c r="S121" s="3" t="s">
        <v>571</v>
      </c>
      <c r="T121" s="3"/>
      <c r="U121" s="3" t="s">
        <v>787</v>
      </c>
      <c r="V121" s="3" t="s">
        <v>230</v>
      </c>
      <c r="W121" s="3" t="s">
        <v>239</v>
      </c>
      <c r="X121" s="3" t="s">
        <v>788</v>
      </c>
    </row>
    <row r="122" spans="1:24" ht="46.05" customHeight="1">
      <c r="A122" s="3" t="s">
        <v>822</v>
      </c>
      <c r="B122" s="3" t="s">
        <v>225</v>
      </c>
      <c r="C122" s="3">
        <v>2016</v>
      </c>
      <c r="D122" s="3" t="s">
        <v>24</v>
      </c>
      <c r="E122" s="3" t="s">
        <v>652</v>
      </c>
      <c r="F122" s="3" t="s">
        <v>815</v>
      </c>
      <c r="G122" s="6">
        <v>14</v>
      </c>
      <c r="H122" s="3" t="s">
        <v>120</v>
      </c>
      <c r="I122" s="5"/>
      <c r="J122" s="5"/>
      <c r="K122" s="3"/>
      <c r="L122" s="3" t="s">
        <v>786</v>
      </c>
      <c r="M122" s="3" t="s">
        <v>236</v>
      </c>
      <c r="N122" s="5">
        <v>180.42</v>
      </c>
      <c r="O122" s="5">
        <v>4.1399999999999997</v>
      </c>
      <c r="P122" s="5"/>
      <c r="Q122" s="5"/>
      <c r="R122" s="3" t="s">
        <v>550</v>
      </c>
      <c r="S122" s="3" t="s">
        <v>571</v>
      </c>
      <c r="T122" s="3"/>
      <c r="U122" s="3" t="s">
        <v>787</v>
      </c>
      <c r="V122" s="3" t="s">
        <v>230</v>
      </c>
      <c r="W122" s="3" t="s">
        <v>239</v>
      </c>
      <c r="X122" s="3" t="s">
        <v>788</v>
      </c>
    </row>
    <row r="123" spans="1:24" ht="46.05" customHeight="1">
      <c r="A123" s="3" t="s">
        <v>823</v>
      </c>
      <c r="B123" s="3" t="s">
        <v>225</v>
      </c>
      <c r="C123" s="3">
        <v>2016</v>
      </c>
      <c r="D123" s="3" t="s">
        <v>24</v>
      </c>
      <c r="E123" s="3" t="s">
        <v>579</v>
      </c>
      <c r="F123" s="3" t="s">
        <v>815</v>
      </c>
      <c r="G123" s="6">
        <v>14</v>
      </c>
      <c r="H123" s="3" t="s">
        <v>120</v>
      </c>
      <c r="I123" s="5"/>
      <c r="J123" s="5"/>
      <c r="K123" s="3"/>
      <c r="L123" s="3" t="s">
        <v>786</v>
      </c>
      <c r="M123" s="3" t="s">
        <v>236</v>
      </c>
      <c r="N123" s="5">
        <v>59.24</v>
      </c>
      <c r="O123" s="5">
        <v>2.75</v>
      </c>
      <c r="P123" s="5"/>
      <c r="Q123" s="5"/>
      <c r="R123" s="3" t="s">
        <v>560</v>
      </c>
      <c r="S123" s="3" t="s">
        <v>571</v>
      </c>
      <c r="T123" s="3"/>
      <c r="U123" s="3" t="s">
        <v>787</v>
      </c>
      <c r="V123" s="3" t="s">
        <v>230</v>
      </c>
      <c r="W123" s="3" t="s">
        <v>239</v>
      </c>
      <c r="X123" s="3" t="s">
        <v>788</v>
      </c>
    </row>
    <row r="124" spans="1:24" ht="46.05" customHeight="1">
      <c r="A124" s="3" t="s">
        <v>824</v>
      </c>
      <c r="B124" s="3" t="s">
        <v>271</v>
      </c>
      <c r="C124" s="3">
        <v>2018</v>
      </c>
      <c r="D124" s="3" t="s">
        <v>25</v>
      </c>
      <c r="E124" s="3" t="s">
        <v>825</v>
      </c>
      <c r="F124" s="3" t="s">
        <v>826</v>
      </c>
      <c r="G124" s="6">
        <v>40</v>
      </c>
      <c r="H124" s="3" t="s">
        <v>120</v>
      </c>
      <c r="I124" s="5">
        <v>25.5</v>
      </c>
      <c r="J124" s="5">
        <v>3.5</v>
      </c>
      <c r="K124" s="3"/>
      <c r="L124" s="3" t="s">
        <v>281</v>
      </c>
      <c r="M124" s="3" t="s">
        <v>155</v>
      </c>
      <c r="N124" s="5"/>
      <c r="O124" s="5"/>
      <c r="P124" s="5"/>
      <c r="Q124" s="5"/>
      <c r="R124" s="3" t="s">
        <v>827</v>
      </c>
      <c r="S124" s="3" t="s">
        <v>828</v>
      </c>
      <c r="T124" s="3"/>
      <c r="U124" s="3" t="s">
        <v>829</v>
      </c>
      <c r="V124" s="3" t="s">
        <v>276</v>
      </c>
      <c r="W124" s="3" t="s">
        <v>284</v>
      </c>
      <c r="X124" s="3" t="s">
        <v>285</v>
      </c>
    </row>
    <row r="125" spans="1:24" ht="46.05" customHeight="1">
      <c r="A125" s="3" t="s">
        <v>830</v>
      </c>
      <c r="B125" s="3" t="s">
        <v>301</v>
      </c>
      <c r="C125" s="3">
        <v>2018</v>
      </c>
      <c r="D125" s="3" t="s">
        <v>24</v>
      </c>
      <c r="E125" s="3" t="s">
        <v>831</v>
      </c>
      <c r="F125" s="3" t="s">
        <v>832</v>
      </c>
      <c r="G125" s="6">
        <v>11</v>
      </c>
      <c r="H125" s="3" t="s">
        <v>120</v>
      </c>
      <c r="I125" s="5">
        <v>21.4</v>
      </c>
      <c r="J125" s="5">
        <v>2.1</v>
      </c>
      <c r="K125" s="3"/>
      <c r="L125" s="3" t="s">
        <v>310</v>
      </c>
      <c r="M125" s="3" t="s">
        <v>311</v>
      </c>
      <c r="N125" s="5"/>
      <c r="O125" s="5"/>
      <c r="P125" s="5"/>
      <c r="Q125" s="5"/>
      <c r="R125" s="3" t="s">
        <v>833</v>
      </c>
      <c r="S125" s="3" t="s">
        <v>834</v>
      </c>
      <c r="T125" s="3" t="s">
        <v>835</v>
      </c>
      <c r="U125" s="3" t="s">
        <v>836</v>
      </c>
      <c r="V125" s="3" t="s">
        <v>305</v>
      </c>
      <c r="W125" s="3" t="s">
        <v>314</v>
      </c>
      <c r="X125" s="3" t="s">
        <v>315</v>
      </c>
    </row>
    <row r="126" spans="1:24" ht="46.05" customHeight="1">
      <c r="A126" s="3" t="s">
        <v>837</v>
      </c>
      <c r="B126" s="3" t="s">
        <v>301</v>
      </c>
      <c r="C126" s="3">
        <v>2018</v>
      </c>
      <c r="D126" s="3" t="s">
        <v>24</v>
      </c>
      <c r="E126" s="3" t="s">
        <v>838</v>
      </c>
      <c r="F126" s="3" t="s">
        <v>832</v>
      </c>
      <c r="G126" s="6">
        <v>11</v>
      </c>
      <c r="H126" s="3" t="s">
        <v>120</v>
      </c>
      <c r="I126" s="5"/>
      <c r="J126" s="5"/>
      <c r="K126" s="3"/>
      <c r="L126" s="3" t="s">
        <v>310</v>
      </c>
      <c r="M126" s="3" t="s">
        <v>311</v>
      </c>
      <c r="N126" s="5"/>
      <c r="O126" s="5"/>
      <c r="P126" s="5"/>
      <c r="Q126" s="5"/>
      <c r="R126" s="3" t="s">
        <v>550</v>
      </c>
      <c r="S126" s="3" t="s">
        <v>839</v>
      </c>
      <c r="T126" s="3" t="s">
        <v>840</v>
      </c>
      <c r="U126" s="3" t="s">
        <v>841</v>
      </c>
      <c r="V126" s="3" t="s">
        <v>305</v>
      </c>
      <c r="W126" s="3" t="s">
        <v>314</v>
      </c>
      <c r="X126" s="3" t="s">
        <v>315</v>
      </c>
    </row>
    <row r="127" spans="1:24" ht="46.05" customHeight="1">
      <c r="A127" s="3" t="s">
        <v>842</v>
      </c>
      <c r="B127" s="3" t="s">
        <v>316</v>
      </c>
      <c r="C127" s="3">
        <v>2020</v>
      </c>
      <c r="D127" s="3" t="s">
        <v>24</v>
      </c>
      <c r="E127" s="3" t="s">
        <v>843</v>
      </c>
      <c r="F127" s="3" t="s">
        <v>732</v>
      </c>
      <c r="G127" s="6">
        <v>14</v>
      </c>
      <c r="H127" s="3" t="s">
        <v>120</v>
      </c>
      <c r="I127" s="5">
        <v>22</v>
      </c>
      <c r="J127" s="5">
        <v>1.87</v>
      </c>
      <c r="K127" s="3"/>
      <c r="L127" s="3" t="s">
        <v>326</v>
      </c>
      <c r="M127" s="3" t="s">
        <v>327</v>
      </c>
      <c r="N127" s="5">
        <v>160</v>
      </c>
      <c r="O127" s="5">
        <v>9</v>
      </c>
      <c r="P127" s="5"/>
      <c r="Q127" s="5"/>
      <c r="R127" s="3" t="s">
        <v>550</v>
      </c>
      <c r="S127" s="3" t="s">
        <v>571</v>
      </c>
      <c r="T127" s="3"/>
      <c r="U127" s="3"/>
      <c r="V127" s="3" t="s">
        <v>321</v>
      </c>
      <c r="W127" s="3" t="s">
        <v>330</v>
      </c>
      <c r="X127" s="3" t="s">
        <v>331</v>
      </c>
    </row>
    <row r="128" spans="1:24" ht="46.05" customHeight="1">
      <c r="A128" s="3" t="s">
        <v>844</v>
      </c>
      <c r="B128" s="3" t="s">
        <v>316</v>
      </c>
      <c r="C128" s="3">
        <v>2020</v>
      </c>
      <c r="D128" s="3" t="s">
        <v>24</v>
      </c>
      <c r="E128" s="3" t="s">
        <v>845</v>
      </c>
      <c r="F128" s="3" t="s">
        <v>732</v>
      </c>
      <c r="G128" s="6">
        <v>14</v>
      </c>
      <c r="H128" s="3" t="s">
        <v>120</v>
      </c>
      <c r="I128" s="5"/>
      <c r="J128" s="5"/>
      <c r="K128" s="3"/>
      <c r="L128" s="3" t="s">
        <v>326</v>
      </c>
      <c r="M128" s="3" t="s">
        <v>327</v>
      </c>
      <c r="N128" s="5">
        <v>38</v>
      </c>
      <c r="O128" s="5">
        <v>0.31</v>
      </c>
      <c r="P128" s="5"/>
      <c r="Q128" s="5"/>
      <c r="R128" s="3" t="s">
        <v>560</v>
      </c>
      <c r="S128" s="3" t="s">
        <v>571</v>
      </c>
      <c r="T128" s="3"/>
      <c r="U128" s="3"/>
      <c r="V128" s="3" t="s">
        <v>321</v>
      </c>
      <c r="W128" s="3" t="s">
        <v>330</v>
      </c>
      <c r="X128" s="3" t="s">
        <v>846</v>
      </c>
    </row>
    <row r="129" spans="1:24" ht="46.05" customHeight="1">
      <c r="A129" s="3" t="s">
        <v>847</v>
      </c>
      <c r="B129" s="3" t="s">
        <v>316</v>
      </c>
      <c r="C129" s="3">
        <v>2020</v>
      </c>
      <c r="D129" s="3" t="s">
        <v>24</v>
      </c>
      <c r="E129" s="3" t="s">
        <v>554</v>
      </c>
      <c r="F129" s="3" t="s">
        <v>732</v>
      </c>
      <c r="G129" s="6">
        <v>14</v>
      </c>
      <c r="H129" s="3" t="s">
        <v>120</v>
      </c>
      <c r="I129" s="5"/>
      <c r="J129" s="5"/>
      <c r="K129" s="3"/>
      <c r="L129" s="3" t="s">
        <v>326</v>
      </c>
      <c r="M129" s="3" t="s">
        <v>327</v>
      </c>
      <c r="N129" s="5">
        <v>2.7</v>
      </c>
      <c r="O129" s="5">
        <v>0.8</v>
      </c>
      <c r="P129" s="5"/>
      <c r="Q129" s="5"/>
      <c r="R129" s="3" t="s">
        <v>555</v>
      </c>
      <c r="S129" s="3" t="s">
        <v>571</v>
      </c>
      <c r="T129" s="3"/>
      <c r="U129" s="3"/>
      <c r="V129" s="3" t="s">
        <v>321</v>
      </c>
      <c r="W129" s="3" t="s">
        <v>330</v>
      </c>
      <c r="X129" s="3" t="s">
        <v>331</v>
      </c>
    </row>
    <row r="130" spans="1:24" ht="46.05" customHeight="1">
      <c r="A130" s="3" t="s">
        <v>848</v>
      </c>
      <c r="B130" s="3" t="s">
        <v>316</v>
      </c>
      <c r="C130" s="3">
        <v>2020</v>
      </c>
      <c r="D130" s="3" t="s">
        <v>24</v>
      </c>
      <c r="E130" s="3" t="s">
        <v>843</v>
      </c>
      <c r="F130" s="3" t="s">
        <v>849</v>
      </c>
      <c r="G130" s="6">
        <v>14</v>
      </c>
      <c r="H130" s="3" t="s">
        <v>120</v>
      </c>
      <c r="I130" s="5">
        <v>22</v>
      </c>
      <c r="J130" s="5">
        <v>1.87</v>
      </c>
      <c r="K130" s="3"/>
      <c r="L130" s="3" t="s">
        <v>326</v>
      </c>
      <c r="M130" s="3" t="s">
        <v>327</v>
      </c>
      <c r="N130" s="5">
        <v>150</v>
      </c>
      <c r="O130" s="5">
        <v>16</v>
      </c>
      <c r="P130" s="5"/>
      <c r="Q130" s="5"/>
      <c r="R130" s="3" t="s">
        <v>550</v>
      </c>
      <c r="S130" s="3" t="s">
        <v>571</v>
      </c>
      <c r="T130" s="3"/>
      <c r="U130" s="3"/>
      <c r="V130" s="3" t="s">
        <v>321</v>
      </c>
      <c r="W130" s="3" t="s">
        <v>330</v>
      </c>
      <c r="X130" s="3" t="s">
        <v>331</v>
      </c>
    </row>
    <row r="131" spans="1:24" ht="46.05" customHeight="1">
      <c r="A131" s="3" t="s">
        <v>850</v>
      </c>
      <c r="B131" s="3" t="s">
        <v>316</v>
      </c>
      <c r="C131" s="3">
        <v>2020</v>
      </c>
      <c r="D131" s="3" t="s">
        <v>24</v>
      </c>
      <c r="E131" s="3" t="s">
        <v>845</v>
      </c>
      <c r="F131" s="3" t="s">
        <v>849</v>
      </c>
      <c r="G131" s="6">
        <v>14</v>
      </c>
      <c r="H131" s="3" t="s">
        <v>120</v>
      </c>
      <c r="I131" s="5"/>
      <c r="J131" s="5"/>
      <c r="K131" s="3"/>
      <c r="L131" s="3" t="s">
        <v>326</v>
      </c>
      <c r="M131" s="3" t="s">
        <v>327</v>
      </c>
      <c r="N131" s="5">
        <v>34.4</v>
      </c>
      <c r="O131" s="5">
        <v>1.06</v>
      </c>
      <c r="P131" s="5"/>
      <c r="Q131" s="5"/>
      <c r="R131" s="3" t="s">
        <v>560</v>
      </c>
      <c r="S131" s="3" t="s">
        <v>571</v>
      </c>
      <c r="T131" s="3"/>
      <c r="U131" s="3"/>
      <c r="V131" s="3" t="s">
        <v>321</v>
      </c>
      <c r="W131" s="3" t="s">
        <v>330</v>
      </c>
      <c r="X131" s="3" t="s">
        <v>846</v>
      </c>
    </row>
    <row r="132" spans="1:24" ht="46.05" customHeight="1">
      <c r="A132" s="3" t="s">
        <v>851</v>
      </c>
      <c r="B132" s="3" t="s">
        <v>316</v>
      </c>
      <c r="C132" s="3">
        <v>2020</v>
      </c>
      <c r="D132" s="3" t="s">
        <v>24</v>
      </c>
      <c r="E132" s="3" t="s">
        <v>554</v>
      </c>
      <c r="F132" s="3" t="s">
        <v>849</v>
      </c>
      <c r="G132" s="6">
        <v>14</v>
      </c>
      <c r="H132" s="3" t="s">
        <v>120</v>
      </c>
      <c r="I132" s="5"/>
      <c r="J132" s="5"/>
      <c r="K132" s="3"/>
      <c r="L132" s="3" t="s">
        <v>326</v>
      </c>
      <c r="M132" s="3" t="s">
        <v>327</v>
      </c>
      <c r="N132" s="5">
        <v>2.2999999999999998</v>
      </c>
      <c r="O132" s="5">
        <v>0.9</v>
      </c>
      <c r="P132" s="5"/>
      <c r="Q132" s="5"/>
      <c r="R132" s="3" t="s">
        <v>555</v>
      </c>
      <c r="S132" s="3" t="s">
        <v>571</v>
      </c>
      <c r="T132" s="3"/>
      <c r="U132" s="3"/>
      <c r="V132" s="3" t="s">
        <v>321</v>
      </c>
      <c r="W132" s="3" t="s">
        <v>330</v>
      </c>
      <c r="X132" s="3" t="s">
        <v>331</v>
      </c>
    </row>
    <row r="133" spans="1:24" ht="46.05" customHeight="1">
      <c r="A133" s="3" t="s">
        <v>852</v>
      </c>
      <c r="B133" s="3" t="s">
        <v>316</v>
      </c>
      <c r="C133" s="3">
        <v>2020</v>
      </c>
      <c r="D133" s="3" t="s">
        <v>25</v>
      </c>
      <c r="E133" s="3" t="s">
        <v>853</v>
      </c>
      <c r="F133" s="3" t="s">
        <v>854</v>
      </c>
      <c r="G133" s="6">
        <v>14</v>
      </c>
      <c r="H133" s="3" t="s">
        <v>120</v>
      </c>
      <c r="I133" s="5"/>
      <c r="J133" s="5"/>
      <c r="K133" s="3"/>
      <c r="L133" s="3" t="s">
        <v>326</v>
      </c>
      <c r="M133" s="3" t="s">
        <v>327</v>
      </c>
      <c r="N133" s="5"/>
      <c r="O133" s="5"/>
      <c r="P133" s="5"/>
      <c r="Q133" s="5"/>
      <c r="R133" s="3" t="s">
        <v>833</v>
      </c>
      <c r="S133" s="3" t="s">
        <v>828</v>
      </c>
      <c r="T133" s="3"/>
      <c r="U133" s="3" t="s">
        <v>855</v>
      </c>
      <c r="V133" s="3" t="s">
        <v>321</v>
      </c>
      <c r="W133" s="3" t="s">
        <v>330</v>
      </c>
      <c r="X133" s="3" t="s">
        <v>331</v>
      </c>
    </row>
    <row r="134" spans="1:24" ht="46.05" customHeight="1">
      <c r="A134" s="3" t="s">
        <v>856</v>
      </c>
      <c r="B134" s="3" t="s">
        <v>332</v>
      </c>
      <c r="C134" s="3">
        <v>2020</v>
      </c>
      <c r="D134" s="3" t="s">
        <v>25</v>
      </c>
      <c r="E134" s="3" t="s">
        <v>857</v>
      </c>
      <c r="F134" s="3" t="s">
        <v>858</v>
      </c>
      <c r="G134" s="6">
        <v>15</v>
      </c>
      <c r="H134" s="3" t="s">
        <v>120</v>
      </c>
      <c r="I134" s="5">
        <v>21.1</v>
      </c>
      <c r="J134" s="5">
        <v>3</v>
      </c>
      <c r="K134" s="3"/>
      <c r="L134" s="3" t="s">
        <v>858</v>
      </c>
      <c r="M134" s="3" t="s">
        <v>859</v>
      </c>
      <c r="N134" s="5">
        <v>3158</v>
      </c>
      <c r="O134" s="5">
        <v>1467</v>
      </c>
      <c r="P134" s="5"/>
      <c r="Q134" s="5"/>
      <c r="R134" s="3" t="s">
        <v>589</v>
      </c>
      <c r="S134" s="3" t="s">
        <v>571</v>
      </c>
      <c r="T134" s="3"/>
      <c r="U134" s="3" t="s">
        <v>860</v>
      </c>
      <c r="V134" s="3" t="s">
        <v>337</v>
      </c>
      <c r="W134" s="3" t="s">
        <v>126</v>
      </c>
      <c r="X134" s="3" t="s">
        <v>861</v>
      </c>
    </row>
    <row r="135" spans="1:24" ht="46.05" customHeight="1">
      <c r="A135" s="3" t="s">
        <v>862</v>
      </c>
      <c r="B135" s="3" t="s">
        <v>332</v>
      </c>
      <c r="C135" s="3">
        <v>2020</v>
      </c>
      <c r="D135" s="3" t="s">
        <v>25</v>
      </c>
      <c r="E135" s="3" t="s">
        <v>863</v>
      </c>
      <c r="F135" s="3" t="s">
        <v>858</v>
      </c>
      <c r="G135" s="6">
        <v>15</v>
      </c>
      <c r="H135" s="3" t="s">
        <v>120</v>
      </c>
      <c r="I135" s="5">
        <v>21.1</v>
      </c>
      <c r="J135" s="5">
        <v>3</v>
      </c>
      <c r="K135" s="3"/>
      <c r="L135" s="3" t="s">
        <v>858</v>
      </c>
      <c r="M135" s="3" t="s">
        <v>859</v>
      </c>
      <c r="N135" s="5">
        <v>2999</v>
      </c>
      <c r="O135" s="5">
        <v>1818</v>
      </c>
      <c r="P135" s="5"/>
      <c r="Q135" s="5"/>
      <c r="R135" s="3" t="s">
        <v>589</v>
      </c>
      <c r="S135" s="3" t="s">
        <v>571</v>
      </c>
      <c r="T135" s="3"/>
      <c r="U135" s="3" t="s">
        <v>860</v>
      </c>
      <c r="V135" s="3" t="s">
        <v>337</v>
      </c>
      <c r="W135" s="3" t="s">
        <v>126</v>
      </c>
      <c r="X135" s="3" t="s">
        <v>861</v>
      </c>
    </row>
    <row r="136" spans="1:24" ht="46.05" customHeight="1">
      <c r="A136" s="3" t="s">
        <v>864</v>
      </c>
      <c r="B136" s="3" t="s">
        <v>332</v>
      </c>
      <c r="C136" s="3">
        <v>2020</v>
      </c>
      <c r="D136" s="3" t="s">
        <v>25</v>
      </c>
      <c r="E136" s="3" t="s">
        <v>865</v>
      </c>
      <c r="F136" s="3" t="s">
        <v>858</v>
      </c>
      <c r="G136" s="6">
        <v>15</v>
      </c>
      <c r="H136" s="3" t="s">
        <v>120</v>
      </c>
      <c r="I136" s="5">
        <v>21.1</v>
      </c>
      <c r="J136" s="5">
        <v>3</v>
      </c>
      <c r="K136" s="3"/>
      <c r="L136" s="3" t="s">
        <v>858</v>
      </c>
      <c r="M136" s="3" t="s">
        <v>859</v>
      </c>
      <c r="N136" s="5">
        <v>3242</v>
      </c>
      <c r="O136" s="5">
        <v>1767</v>
      </c>
      <c r="P136" s="5"/>
      <c r="Q136" s="5"/>
      <c r="R136" s="3" t="s">
        <v>589</v>
      </c>
      <c r="S136" s="3" t="s">
        <v>571</v>
      </c>
      <c r="T136" s="3"/>
      <c r="U136" s="3" t="s">
        <v>860</v>
      </c>
      <c r="V136" s="3" t="s">
        <v>337</v>
      </c>
      <c r="W136" s="3" t="s">
        <v>126</v>
      </c>
      <c r="X136" s="3" t="s">
        <v>861</v>
      </c>
    </row>
    <row r="137" spans="1:24" ht="46.05" customHeight="1">
      <c r="A137" s="3" t="s">
        <v>866</v>
      </c>
      <c r="B137" s="3" t="s">
        <v>332</v>
      </c>
      <c r="C137" s="3">
        <v>2020</v>
      </c>
      <c r="D137" s="3" t="s">
        <v>25</v>
      </c>
      <c r="E137" s="3" t="s">
        <v>867</v>
      </c>
      <c r="F137" s="3" t="s">
        <v>858</v>
      </c>
      <c r="G137" s="6">
        <v>15</v>
      </c>
      <c r="H137" s="3" t="s">
        <v>120</v>
      </c>
      <c r="I137" s="5">
        <v>21.1</v>
      </c>
      <c r="J137" s="5">
        <v>3</v>
      </c>
      <c r="K137" s="3"/>
      <c r="L137" s="3" t="s">
        <v>858</v>
      </c>
      <c r="M137" s="3" t="s">
        <v>859</v>
      </c>
      <c r="N137" s="5">
        <v>8.1</v>
      </c>
      <c r="O137" s="5">
        <v>2.1</v>
      </c>
      <c r="P137" s="5"/>
      <c r="Q137" s="5"/>
      <c r="R137" s="3" t="s">
        <v>594</v>
      </c>
      <c r="S137" s="3" t="s">
        <v>571</v>
      </c>
      <c r="T137" s="3"/>
      <c r="U137" s="3" t="s">
        <v>860</v>
      </c>
      <c r="V137" s="3" t="s">
        <v>337</v>
      </c>
      <c r="W137" s="3" t="s">
        <v>126</v>
      </c>
      <c r="X137" s="3" t="s">
        <v>861</v>
      </c>
    </row>
    <row r="138" spans="1:24" ht="46.05" customHeight="1">
      <c r="A138" s="3" t="s">
        <v>868</v>
      </c>
      <c r="B138" s="3" t="s">
        <v>332</v>
      </c>
      <c r="C138" s="3">
        <v>2020</v>
      </c>
      <c r="D138" s="3" t="s">
        <v>25</v>
      </c>
      <c r="E138" s="3" t="s">
        <v>869</v>
      </c>
      <c r="F138" s="3" t="s">
        <v>858</v>
      </c>
      <c r="G138" s="6">
        <v>15</v>
      </c>
      <c r="H138" s="3" t="s">
        <v>120</v>
      </c>
      <c r="I138" s="5">
        <v>21.1</v>
      </c>
      <c r="J138" s="5">
        <v>3</v>
      </c>
      <c r="K138" s="3"/>
      <c r="L138" s="3" t="s">
        <v>858</v>
      </c>
      <c r="M138" s="3" t="s">
        <v>859</v>
      </c>
      <c r="N138" s="5">
        <v>11.2</v>
      </c>
      <c r="O138" s="5">
        <v>2</v>
      </c>
      <c r="P138" s="5"/>
      <c r="Q138" s="5"/>
      <c r="R138" s="3" t="s">
        <v>594</v>
      </c>
      <c r="S138" s="3" t="s">
        <v>571</v>
      </c>
      <c r="T138" s="3"/>
      <c r="U138" s="3" t="s">
        <v>860</v>
      </c>
      <c r="V138" s="3" t="s">
        <v>337</v>
      </c>
      <c r="W138" s="3" t="s">
        <v>126</v>
      </c>
      <c r="X138" s="3" t="s">
        <v>861</v>
      </c>
    </row>
    <row r="139" spans="1:24" ht="46.05" customHeight="1">
      <c r="A139" s="3" t="s">
        <v>870</v>
      </c>
      <c r="B139" s="3" t="s">
        <v>332</v>
      </c>
      <c r="C139" s="3">
        <v>2020</v>
      </c>
      <c r="D139" s="3" t="s">
        <v>25</v>
      </c>
      <c r="E139" s="3" t="s">
        <v>871</v>
      </c>
      <c r="F139" s="3" t="s">
        <v>858</v>
      </c>
      <c r="G139" s="6">
        <v>15</v>
      </c>
      <c r="H139" s="3" t="s">
        <v>120</v>
      </c>
      <c r="I139" s="5">
        <v>21.1</v>
      </c>
      <c r="J139" s="5">
        <v>3</v>
      </c>
      <c r="K139" s="3"/>
      <c r="L139" s="3" t="s">
        <v>858</v>
      </c>
      <c r="M139" s="3" t="s">
        <v>859</v>
      </c>
      <c r="N139" s="5">
        <v>10.199999999999999</v>
      </c>
      <c r="O139" s="5">
        <v>1.8</v>
      </c>
      <c r="P139" s="5"/>
      <c r="Q139" s="5"/>
      <c r="R139" s="3" t="s">
        <v>594</v>
      </c>
      <c r="S139" s="3" t="s">
        <v>571</v>
      </c>
      <c r="T139" s="3"/>
      <c r="U139" s="3" t="s">
        <v>860</v>
      </c>
      <c r="V139" s="3" t="s">
        <v>337</v>
      </c>
      <c r="W139" s="3" t="s">
        <v>126</v>
      </c>
      <c r="X139" s="3" t="s">
        <v>861</v>
      </c>
    </row>
    <row r="140" spans="1:24" ht="46.05" customHeight="1">
      <c r="A140" s="3" t="s">
        <v>872</v>
      </c>
      <c r="B140" s="3" t="s">
        <v>332</v>
      </c>
      <c r="C140" s="3">
        <v>2020</v>
      </c>
      <c r="D140" s="3" t="s">
        <v>25</v>
      </c>
      <c r="E140" s="3" t="s">
        <v>857</v>
      </c>
      <c r="F140" s="3" t="s">
        <v>619</v>
      </c>
      <c r="G140" s="6">
        <v>8</v>
      </c>
      <c r="H140" s="3" t="s">
        <v>120</v>
      </c>
      <c r="I140" s="5">
        <v>16.100000000000001</v>
      </c>
      <c r="J140" s="5">
        <v>0.7</v>
      </c>
      <c r="K140" s="3"/>
      <c r="L140" s="3" t="s">
        <v>619</v>
      </c>
      <c r="M140" s="3" t="s">
        <v>873</v>
      </c>
      <c r="N140" s="5">
        <v>1021</v>
      </c>
      <c r="O140" s="5">
        <v>449</v>
      </c>
      <c r="P140" s="5"/>
      <c r="Q140" s="5"/>
      <c r="R140" s="3" t="s">
        <v>589</v>
      </c>
      <c r="S140" s="3" t="s">
        <v>571</v>
      </c>
      <c r="T140" s="3"/>
      <c r="U140" s="3" t="s">
        <v>860</v>
      </c>
      <c r="V140" s="3" t="s">
        <v>337</v>
      </c>
      <c r="W140" s="3" t="s">
        <v>126</v>
      </c>
      <c r="X140" s="3" t="s">
        <v>861</v>
      </c>
    </row>
    <row r="141" spans="1:24" ht="46.05" customHeight="1">
      <c r="A141" s="3" t="s">
        <v>874</v>
      </c>
      <c r="B141" s="3" t="s">
        <v>332</v>
      </c>
      <c r="C141" s="3">
        <v>2020</v>
      </c>
      <c r="D141" s="3" t="s">
        <v>25</v>
      </c>
      <c r="E141" s="3" t="s">
        <v>863</v>
      </c>
      <c r="F141" s="3" t="s">
        <v>619</v>
      </c>
      <c r="G141" s="6">
        <v>8</v>
      </c>
      <c r="H141" s="3" t="s">
        <v>120</v>
      </c>
      <c r="I141" s="5">
        <v>16.100000000000001</v>
      </c>
      <c r="J141" s="5">
        <v>0.7</v>
      </c>
      <c r="K141" s="3"/>
      <c r="L141" s="3" t="s">
        <v>619</v>
      </c>
      <c r="M141" s="3" t="s">
        <v>873</v>
      </c>
      <c r="N141" s="5">
        <v>544</v>
      </c>
      <c r="O141" s="5">
        <v>235</v>
      </c>
      <c r="P141" s="5"/>
      <c r="Q141" s="5"/>
      <c r="R141" s="3" t="s">
        <v>589</v>
      </c>
      <c r="S141" s="3" t="s">
        <v>571</v>
      </c>
      <c r="T141" s="3"/>
      <c r="U141" s="3" t="s">
        <v>860</v>
      </c>
      <c r="V141" s="3" t="s">
        <v>337</v>
      </c>
      <c r="W141" s="3" t="s">
        <v>126</v>
      </c>
      <c r="X141" s="3" t="s">
        <v>861</v>
      </c>
    </row>
    <row r="142" spans="1:24" ht="46.05" customHeight="1">
      <c r="A142" s="3" t="s">
        <v>875</v>
      </c>
      <c r="B142" s="3" t="s">
        <v>332</v>
      </c>
      <c r="C142" s="3">
        <v>2020</v>
      </c>
      <c r="D142" s="3" t="s">
        <v>25</v>
      </c>
      <c r="E142" s="3" t="s">
        <v>865</v>
      </c>
      <c r="F142" s="3" t="s">
        <v>619</v>
      </c>
      <c r="G142" s="6">
        <v>8</v>
      </c>
      <c r="H142" s="3" t="s">
        <v>120</v>
      </c>
      <c r="I142" s="5">
        <v>16.100000000000001</v>
      </c>
      <c r="J142" s="5">
        <v>0.7</v>
      </c>
      <c r="K142" s="3"/>
      <c r="L142" s="3" t="s">
        <v>619</v>
      </c>
      <c r="M142" s="3" t="s">
        <v>873</v>
      </c>
      <c r="N142" s="5">
        <v>700</v>
      </c>
      <c r="O142" s="5">
        <v>287</v>
      </c>
      <c r="P142" s="5"/>
      <c r="Q142" s="5"/>
      <c r="R142" s="3" t="s">
        <v>589</v>
      </c>
      <c r="S142" s="3" t="s">
        <v>571</v>
      </c>
      <c r="T142" s="3"/>
      <c r="U142" s="3" t="s">
        <v>860</v>
      </c>
      <c r="V142" s="3" t="s">
        <v>337</v>
      </c>
      <c r="W142" s="3" t="s">
        <v>126</v>
      </c>
      <c r="X142" s="3" t="s">
        <v>861</v>
      </c>
    </row>
    <row r="143" spans="1:24" ht="46.05" customHeight="1">
      <c r="A143" s="3" t="s">
        <v>876</v>
      </c>
      <c r="B143" s="3" t="s">
        <v>332</v>
      </c>
      <c r="C143" s="3">
        <v>2020</v>
      </c>
      <c r="D143" s="3" t="s">
        <v>25</v>
      </c>
      <c r="E143" s="3" t="s">
        <v>867</v>
      </c>
      <c r="F143" s="3" t="s">
        <v>619</v>
      </c>
      <c r="G143" s="6">
        <v>8</v>
      </c>
      <c r="H143" s="3" t="s">
        <v>120</v>
      </c>
      <c r="I143" s="5">
        <v>16.100000000000001</v>
      </c>
      <c r="J143" s="5">
        <v>0.7</v>
      </c>
      <c r="K143" s="3"/>
      <c r="L143" s="3" t="s">
        <v>619</v>
      </c>
      <c r="M143" s="3" t="s">
        <v>873</v>
      </c>
      <c r="N143" s="5">
        <v>8.1</v>
      </c>
      <c r="O143" s="5">
        <v>1.3</v>
      </c>
      <c r="P143" s="5"/>
      <c r="Q143" s="5"/>
      <c r="R143" s="3" t="s">
        <v>594</v>
      </c>
      <c r="S143" s="3" t="s">
        <v>571</v>
      </c>
      <c r="T143" s="3"/>
      <c r="U143" s="3" t="s">
        <v>860</v>
      </c>
      <c r="V143" s="3" t="s">
        <v>337</v>
      </c>
      <c r="W143" s="3" t="s">
        <v>126</v>
      </c>
      <c r="X143" s="3" t="s">
        <v>861</v>
      </c>
    </row>
    <row r="144" spans="1:24" ht="46.05" customHeight="1">
      <c r="A144" s="3" t="s">
        <v>877</v>
      </c>
      <c r="B144" s="3" t="s">
        <v>332</v>
      </c>
      <c r="C144" s="3">
        <v>2020</v>
      </c>
      <c r="D144" s="3" t="s">
        <v>25</v>
      </c>
      <c r="E144" s="3" t="s">
        <v>869</v>
      </c>
      <c r="F144" s="3" t="s">
        <v>619</v>
      </c>
      <c r="G144" s="6">
        <v>8</v>
      </c>
      <c r="H144" s="3" t="s">
        <v>120</v>
      </c>
      <c r="I144" s="5">
        <v>16.100000000000001</v>
      </c>
      <c r="J144" s="5">
        <v>0.7</v>
      </c>
      <c r="K144" s="3"/>
      <c r="L144" s="3" t="s">
        <v>619</v>
      </c>
      <c r="M144" s="3" t="s">
        <v>873</v>
      </c>
      <c r="N144" s="5">
        <v>8.9</v>
      </c>
      <c r="O144" s="5">
        <v>0.9</v>
      </c>
      <c r="P144" s="5"/>
      <c r="Q144" s="5"/>
      <c r="R144" s="3" t="s">
        <v>594</v>
      </c>
      <c r="S144" s="3" t="s">
        <v>571</v>
      </c>
      <c r="T144" s="3"/>
      <c r="U144" s="3" t="s">
        <v>860</v>
      </c>
      <c r="V144" s="3" t="s">
        <v>337</v>
      </c>
      <c r="W144" s="3" t="s">
        <v>126</v>
      </c>
      <c r="X144" s="3" t="s">
        <v>861</v>
      </c>
    </row>
    <row r="145" spans="1:24" ht="46.05" customHeight="1">
      <c r="A145" s="3" t="s">
        <v>878</v>
      </c>
      <c r="B145" s="3" t="s">
        <v>332</v>
      </c>
      <c r="C145" s="3">
        <v>2020</v>
      </c>
      <c r="D145" s="3" t="s">
        <v>25</v>
      </c>
      <c r="E145" s="3" t="s">
        <v>871</v>
      </c>
      <c r="F145" s="3" t="s">
        <v>619</v>
      </c>
      <c r="G145" s="6">
        <v>8</v>
      </c>
      <c r="H145" s="3" t="s">
        <v>120</v>
      </c>
      <c r="I145" s="5">
        <v>16.100000000000001</v>
      </c>
      <c r="J145" s="5">
        <v>0.7</v>
      </c>
      <c r="K145" s="3"/>
      <c r="L145" s="3" t="s">
        <v>619</v>
      </c>
      <c r="M145" s="3" t="s">
        <v>873</v>
      </c>
      <c r="N145" s="5">
        <v>7.3</v>
      </c>
      <c r="O145" s="5">
        <v>1</v>
      </c>
      <c r="P145" s="5"/>
      <c r="Q145" s="5"/>
      <c r="R145" s="3" t="s">
        <v>594</v>
      </c>
      <c r="S145" s="3" t="s">
        <v>571</v>
      </c>
      <c r="T145" s="3"/>
      <c r="U145" s="3" t="s">
        <v>860</v>
      </c>
      <c r="V145" s="3" t="s">
        <v>337</v>
      </c>
      <c r="W145" s="3" t="s">
        <v>126</v>
      </c>
      <c r="X145" s="3" t="s">
        <v>861</v>
      </c>
    </row>
    <row r="146" spans="1:24" ht="46.05" customHeight="1">
      <c r="A146" s="3" t="s">
        <v>879</v>
      </c>
      <c r="B146" s="3" t="s">
        <v>347</v>
      </c>
      <c r="C146" s="3">
        <v>2020</v>
      </c>
      <c r="D146" s="3" t="s">
        <v>617</v>
      </c>
      <c r="E146" s="3" t="s">
        <v>618</v>
      </c>
      <c r="F146" s="3" t="s">
        <v>619</v>
      </c>
      <c r="G146" s="6">
        <v>15</v>
      </c>
      <c r="H146" s="3" t="s">
        <v>120</v>
      </c>
      <c r="I146" s="5">
        <v>14.9</v>
      </c>
      <c r="J146" s="5">
        <v>2</v>
      </c>
      <c r="K146" s="3"/>
      <c r="L146" s="3" t="s">
        <v>358</v>
      </c>
      <c r="M146" s="3" t="s">
        <v>359</v>
      </c>
      <c r="N146" s="5">
        <v>14.9</v>
      </c>
      <c r="O146" s="5">
        <v>2</v>
      </c>
      <c r="P146" s="5"/>
      <c r="Q146" s="5"/>
      <c r="R146" s="3" t="s">
        <v>620</v>
      </c>
      <c r="S146" s="3" t="s">
        <v>571</v>
      </c>
      <c r="T146" s="3"/>
      <c r="U146" s="3"/>
      <c r="V146" s="3" t="s">
        <v>352</v>
      </c>
      <c r="W146" s="3" t="s">
        <v>362</v>
      </c>
      <c r="X146" s="3" t="s">
        <v>363</v>
      </c>
    </row>
    <row r="147" spans="1:24" ht="46.05" customHeight="1">
      <c r="A147" s="3" t="s">
        <v>880</v>
      </c>
      <c r="B147" s="3" t="s">
        <v>347</v>
      </c>
      <c r="C147" s="3">
        <v>2020</v>
      </c>
      <c r="D147" s="3" t="s">
        <v>582</v>
      </c>
      <c r="E147" s="3" t="s">
        <v>625</v>
      </c>
      <c r="F147" s="3" t="s">
        <v>619</v>
      </c>
      <c r="G147" s="6">
        <v>15</v>
      </c>
      <c r="H147" s="3" t="s">
        <v>120</v>
      </c>
      <c r="I147" s="5">
        <v>14.9</v>
      </c>
      <c r="J147" s="5">
        <v>2</v>
      </c>
      <c r="K147" s="3"/>
      <c r="L147" s="3" t="s">
        <v>358</v>
      </c>
      <c r="M147" s="3" t="s">
        <v>359</v>
      </c>
      <c r="N147" s="5">
        <v>164</v>
      </c>
      <c r="O147" s="5">
        <v>12</v>
      </c>
      <c r="P147" s="5"/>
      <c r="Q147" s="5"/>
      <c r="R147" s="3" t="s">
        <v>584</v>
      </c>
      <c r="S147" s="3" t="s">
        <v>571</v>
      </c>
      <c r="T147" s="3"/>
      <c r="U147" s="3"/>
      <c r="V147" s="3" t="s">
        <v>352</v>
      </c>
      <c r="W147" s="3" t="s">
        <v>362</v>
      </c>
      <c r="X147" s="3" t="s">
        <v>363</v>
      </c>
    </row>
    <row r="148" spans="1:24" ht="46.05" customHeight="1">
      <c r="A148" s="3" t="s">
        <v>881</v>
      </c>
      <c r="B148" s="3" t="s">
        <v>347</v>
      </c>
      <c r="C148" s="3">
        <v>2020</v>
      </c>
      <c r="D148" s="3" t="s">
        <v>582</v>
      </c>
      <c r="E148" s="3" t="s">
        <v>628</v>
      </c>
      <c r="F148" s="3" t="s">
        <v>619</v>
      </c>
      <c r="G148" s="6">
        <v>15</v>
      </c>
      <c r="H148" s="3" t="s">
        <v>120</v>
      </c>
      <c r="I148" s="5">
        <v>14.9</v>
      </c>
      <c r="J148" s="5">
        <v>2</v>
      </c>
      <c r="K148" s="3"/>
      <c r="L148" s="3" t="s">
        <v>358</v>
      </c>
      <c r="M148" s="3" t="s">
        <v>359</v>
      </c>
      <c r="N148" s="5">
        <v>50.9</v>
      </c>
      <c r="O148" s="5">
        <v>11.3</v>
      </c>
      <c r="P148" s="5"/>
      <c r="Q148" s="5"/>
      <c r="R148" s="3" t="s">
        <v>576</v>
      </c>
      <c r="S148" s="3" t="s">
        <v>571</v>
      </c>
      <c r="T148" s="3"/>
      <c r="U148" s="3"/>
      <c r="V148" s="3" t="s">
        <v>352</v>
      </c>
      <c r="W148" s="3" t="s">
        <v>362</v>
      </c>
      <c r="X148" s="3" t="s">
        <v>363</v>
      </c>
    </row>
    <row r="149" spans="1:24" ht="46.05" customHeight="1">
      <c r="A149" s="3" t="s">
        <v>882</v>
      </c>
      <c r="B149" s="3" t="s">
        <v>347</v>
      </c>
      <c r="C149" s="3">
        <v>2020</v>
      </c>
      <c r="D149" s="3" t="s">
        <v>617</v>
      </c>
      <c r="E149" s="3" t="s">
        <v>618</v>
      </c>
      <c r="F149" s="3" t="s">
        <v>883</v>
      </c>
      <c r="G149" s="6">
        <v>16</v>
      </c>
      <c r="H149" s="3" t="s">
        <v>120</v>
      </c>
      <c r="I149" s="5">
        <v>20.5</v>
      </c>
      <c r="J149" s="5">
        <v>4</v>
      </c>
      <c r="K149" s="3"/>
      <c r="L149" s="3" t="s">
        <v>358</v>
      </c>
      <c r="M149" s="3" t="s">
        <v>359</v>
      </c>
      <c r="N149" s="5">
        <v>20.5</v>
      </c>
      <c r="O149" s="5">
        <v>4</v>
      </c>
      <c r="P149" s="5"/>
      <c r="Q149" s="5"/>
      <c r="R149" s="3" t="s">
        <v>620</v>
      </c>
      <c r="S149" s="3" t="s">
        <v>571</v>
      </c>
      <c r="T149" s="3"/>
      <c r="U149" s="3"/>
      <c r="V149" s="3" t="s">
        <v>352</v>
      </c>
      <c r="W149" s="3" t="s">
        <v>362</v>
      </c>
      <c r="X149" s="3" t="s">
        <v>363</v>
      </c>
    </row>
    <row r="150" spans="1:24" ht="46.05" customHeight="1">
      <c r="A150" s="3" t="s">
        <v>884</v>
      </c>
      <c r="B150" s="3" t="s">
        <v>347</v>
      </c>
      <c r="C150" s="3">
        <v>2020</v>
      </c>
      <c r="D150" s="3" t="s">
        <v>582</v>
      </c>
      <c r="E150" s="3" t="s">
        <v>625</v>
      </c>
      <c r="F150" s="3" t="s">
        <v>883</v>
      </c>
      <c r="G150" s="6">
        <v>16</v>
      </c>
      <c r="H150" s="3" t="s">
        <v>120</v>
      </c>
      <c r="I150" s="5">
        <v>20.5</v>
      </c>
      <c r="J150" s="5">
        <v>4</v>
      </c>
      <c r="K150" s="3"/>
      <c r="L150" s="3" t="s">
        <v>358</v>
      </c>
      <c r="M150" s="3" t="s">
        <v>359</v>
      </c>
      <c r="N150" s="5">
        <v>173.5</v>
      </c>
      <c r="O150" s="5">
        <v>9.4</v>
      </c>
      <c r="P150" s="5"/>
      <c r="Q150" s="5"/>
      <c r="R150" s="3" t="s">
        <v>584</v>
      </c>
      <c r="S150" s="3" t="s">
        <v>571</v>
      </c>
      <c r="T150" s="3"/>
      <c r="U150" s="3"/>
      <c r="V150" s="3" t="s">
        <v>352</v>
      </c>
      <c r="W150" s="3" t="s">
        <v>362</v>
      </c>
      <c r="X150" s="3" t="s">
        <v>363</v>
      </c>
    </row>
    <row r="151" spans="1:24" ht="46.05" customHeight="1">
      <c r="A151" s="3" t="s">
        <v>885</v>
      </c>
      <c r="B151" s="3" t="s">
        <v>347</v>
      </c>
      <c r="C151" s="3">
        <v>2020</v>
      </c>
      <c r="D151" s="3" t="s">
        <v>582</v>
      </c>
      <c r="E151" s="3" t="s">
        <v>628</v>
      </c>
      <c r="F151" s="3" t="s">
        <v>883</v>
      </c>
      <c r="G151" s="6">
        <v>16</v>
      </c>
      <c r="H151" s="3" t="s">
        <v>120</v>
      </c>
      <c r="I151" s="5">
        <v>20.5</v>
      </c>
      <c r="J151" s="5">
        <v>4</v>
      </c>
      <c r="K151" s="3"/>
      <c r="L151" s="3" t="s">
        <v>358</v>
      </c>
      <c r="M151" s="3" t="s">
        <v>359</v>
      </c>
      <c r="N151" s="5">
        <v>65.2</v>
      </c>
      <c r="O151" s="5">
        <v>10.7</v>
      </c>
      <c r="P151" s="5"/>
      <c r="Q151" s="5"/>
      <c r="R151" s="3" t="s">
        <v>576</v>
      </c>
      <c r="S151" s="3" t="s">
        <v>571</v>
      </c>
      <c r="T151" s="3"/>
      <c r="U151" s="3"/>
      <c r="V151" s="3" t="s">
        <v>352</v>
      </c>
      <c r="W151" s="3" t="s">
        <v>362</v>
      </c>
      <c r="X151" s="3" t="s">
        <v>363</v>
      </c>
    </row>
    <row r="152" spans="1:24" ht="46.05" customHeight="1">
      <c r="A152" s="3" t="s">
        <v>886</v>
      </c>
      <c r="B152" s="3" t="s">
        <v>347</v>
      </c>
      <c r="C152" s="3">
        <v>2020</v>
      </c>
      <c r="D152" s="3" t="s">
        <v>887</v>
      </c>
      <c r="E152" s="3" t="s">
        <v>888</v>
      </c>
      <c r="F152" s="3" t="s">
        <v>889</v>
      </c>
      <c r="G152" s="6">
        <v>31</v>
      </c>
      <c r="H152" s="3" t="s">
        <v>120</v>
      </c>
      <c r="I152" s="5"/>
      <c r="J152" s="5"/>
      <c r="K152" s="3"/>
      <c r="L152" s="3" t="s">
        <v>358</v>
      </c>
      <c r="M152" s="3" t="s">
        <v>359</v>
      </c>
      <c r="N152" s="5">
        <v>17</v>
      </c>
      <c r="O152" s="5"/>
      <c r="P152" s="5"/>
      <c r="Q152" s="5"/>
      <c r="R152" s="3" t="s">
        <v>890</v>
      </c>
      <c r="S152" s="3" t="s">
        <v>891</v>
      </c>
      <c r="T152" s="3"/>
      <c r="U152" s="3" t="s">
        <v>892</v>
      </c>
      <c r="V152" s="3" t="s">
        <v>352</v>
      </c>
      <c r="W152" s="3" t="s">
        <v>362</v>
      </c>
      <c r="X152" s="3" t="s">
        <v>363</v>
      </c>
    </row>
    <row r="153" spans="1:24" ht="46.05" customHeight="1">
      <c r="A153" s="3" t="s">
        <v>893</v>
      </c>
      <c r="B153" s="3" t="s">
        <v>347</v>
      </c>
      <c r="C153" s="3">
        <v>2020</v>
      </c>
      <c r="D153" s="3" t="s">
        <v>887</v>
      </c>
      <c r="E153" s="3" t="s">
        <v>894</v>
      </c>
      <c r="F153" s="3" t="s">
        <v>889</v>
      </c>
      <c r="G153" s="6">
        <v>31</v>
      </c>
      <c r="H153" s="3" t="s">
        <v>120</v>
      </c>
      <c r="I153" s="5"/>
      <c r="J153" s="5"/>
      <c r="K153" s="3"/>
      <c r="L153" s="3" t="s">
        <v>358</v>
      </c>
      <c r="M153" s="3" t="s">
        <v>359</v>
      </c>
      <c r="N153" s="5">
        <v>2.2000000000000002</v>
      </c>
      <c r="O153" s="5"/>
      <c r="P153" s="5"/>
      <c r="Q153" s="5"/>
      <c r="R153" s="3" t="s">
        <v>626</v>
      </c>
      <c r="S153" s="3" t="s">
        <v>891</v>
      </c>
      <c r="T153" s="3"/>
      <c r="U153" s="3" t="s">
        <v>892</v>
      </c>
      <c r="V153" s="3" t="s">
        <v>352</v>
      </c>
      <c r="W153" s="3" t="s">
        <v>362</v>
      </c>
      <c r="X153" s="3" t="s">
        <v>363</v>
      </c>
    </row>
    <row r="154" spans="1:24" ht="46.05" customHeight="1">
      <c r="A154" s="3" t="s">
        <v>895</v>
      </c>
      <c r="B154" s="3" t="s">
        <v>347</v>
      </c>
      <c r="C154" s="3">
        <v>2020</v>
      </c>
      <c r="D154" s="3" t="s">
        <v>887</v>
      </c>
      <c r="E154" s="3" t="s">
        <v>896</v>
      </c>
      <c r="F154" s="3" t="s">
        <v>889</v>
      </c>
      <c r="G154" s="6">
        <v>31</v>
      </c>
      <c r="H154" s="3" t="s">
        <v>120</v>
      </c>
      <c r="I154" s="5"/>
      <c r="J154" s="5"/>
      <c r="K154" s="3"/>
      <c r="L154" s="3" t="s">
        <v>358</v>
      </c>
      <c r="M154" s="3" t="s">
        <v>359</v>
      </c>
      <c r="N154" s="5">
        <v>2</v>
      </c>
      <c r="O154" s="5"/>
      <c r="P154" s="5"/>
      <c r="Q154" s="5"/>
      <c r="R154" s="3" t="s">
        <v>626</v>
      </c>
      <c r="S154" s="3" t="s">
        <v>891</v>
      </c>
      <c r="T154" s="3"/>
      <c r="U154" s="3" t="s">
        <v>892</v>
      </c>
      <c r="V154" s="3" t="s">
        <v>352</v>
      </c>
      <c r="W154" s="3" t="s">
        <v>362</v>
      </c>
      <c r="X154" s="3" t="s">
        <v>363</v>
      </c>
    </row>
    <row r="155" spans="1:24" ht="46.05" customHeight="1">
      <c r="A155" s="3" t="s">
        <v>897</v>
      </c>
      <c r="B155" s="3" t="s">
        <v>347</v>
      </c>
      <c r="C155" s="3">
        <v>2020</v>
      </c>
      <c r="D155" s="3" t="s">
        <v>887</v>
      </c>
      <c r="E155" s="3" t="s">
        <v>898</v>
      </c>
      <c r="F155" s="3" t="s">
        <v>889</v>
      </c>
      <c r="G155" s="6">
        <v>31</v>
      </c>
      <c r="H155" s="3" t="s">
        <v>120</v>
      </c>
      <c r="I155" s="5"/>
      <c r="J155" s="5"/>
      <c r="K155" s="3"/>
      <c r="L155" s="3" t="s">
        <v>358</v>
      </c>
      <c r="M155" s="3" t="s">
        <v>359</v>
      </c>
      <c r="N155" s="5">
        <v>489</v>
      </c>
      <c r="O155" s="5"/>
      <c r="P155" s="5"/>
      <c r="Q155" s="5"/>
      <c r="R155" s="3" t="s">
        <v>626</v>
      </c>
      <c r="S155" s="3" t="s">
        <v>891</v>
      </c>
      <c r="T155" s="3"/>
      <c r="U155" s="3" t="s">
        <v>892</v>
      </c>
      <c r="V155" s="3" t="s">
        <v>352</v>
      </c>
      <c r="W155" s="3" t="s">
        <v>362</v>
      </c>
      <c r="X155" s="3" t="s">
        <v>363</v>
      </c>
    </row>
    <row r="156" spans="1:24" ht="46.05" customHeight="1">
      <c r="A156" s="3" t="s">
        <v>899</v>
      </c>
      <c r="B156" s="3" t="s">
        <v>347</v>
      </c>
      <c r="C156" s="3">
        <v>2020</v>
      </c>
      <c r="D156" s="3" t="s">
        <v>887</v>
      </c>
      <c r="E156" s="3" t="s">
        <v>900</v>
      </c>
      <c r="F156" s="3" t="s">
        <v>889</v>
      </c>
      <c r="G156" s="6">
        <v>31</v>
      </c>
      <c r="H156" s="3" t="s">
        <v>120</v>
      </c>
      <c r="I156" s="5"/>
      <c r="J156" s="5"/>
      <c r="K156" s="3"/>
      <c r="L156" s="3" t="s">
        <v>358</v>
      </c>
      <c r="M156" s="3" t="s">
        <v>359</v>
      </c>
      <c r="N156" s="5">
        <v>4</v>
      </c>
      <c r="O156" s="5"/>
      <c r="P156" s="5"/>
      <c r="Q156" s="5"/>
      <c r="R156" s="3" t="s">
        <v>584</v>
      </c>
      <c r="S156" s="3" t="s">
        <v>891</v>
      </c>
      <c r="T156" s="3"/>
      <c r="U156" s="3" t="s">
        <v>892</v>
      </c>
      <c r="V156" s="3" t="s">
        <v>352</v>
      </c>
      <c r="W156" s="3" t="s">
        <v>362</v>
      </c>
      <c r="X156" s="3" t="s">
        <v>363</v>
      </c>
    </row>
    <row r="157" spans="1:24" ht="46.05" customHeight="1">
      <c r="A157" s="3" t="s">
        <v>901</v>
      </c>
      <c r="B157" s="3" t="s">
        <v>347</v>
      </c>
      <c r="C157" s="3">
        <v>2020</v>
      </c>
      <c r="D157" s="3" t="s">
        <v>887</v>
      </c>
      <c r="E157" s="3" t="s">
        <v>902</v>
      </c>
      <c r="F157" s="3" t="s">
        <v>889</v>
      </c>
      <c r="G157" s="6">
        <v>31</v>
      </c>
      <c r="H157" s="3" t="s">
        <v>120</v>
      </c>
      <c r="I157" s="5"/>
      <c r="J157" s="5"/>
      <c r="K157" s="3"/>
      <c r="L157" s="3" t="s">
        <v>358</v>
      </c>
      <c r="M157" s="3" t="s">
        <v>359</v>
      </c>
      <c r="N157" s="5">
        <v>3</v>
      </c>
      <c r="O157" s="5"/>
      <c r="P157" s="5"/>
      <c r="Q157" s="5"/>
      <c r="R157" s="3" t="s">
        <v>584</v>
      </c>
      <c r="S157" s="3" t="s">
        <v>891</v>
      </c>
      <c r="T157" s="3"/>
      <c r="U157" s="3" t="s">
        <v>892</v>
      </c>
      <c r="V157" s="3" t="s">
        <v>352</v>
      </c>
      <c r="W157" s="3" t="s">
        <v>362</v>
      </c>
      <c r="X157" s="3" t="s">
        <v>363</v>
      </c>
    </row>
    <row r="158" spans="1:24" ht="46.05" customHeight="1">
      <c r="A158" s="3" t="s">
        <v>903</v>
      </c>
      <c r="B158" s="3" t="s">
        <v>347</v>
      </c>
      <c r="C158" s="3">
        <v>2020</v>
      </c>
      <c r="D158" s="3" t="s">
        <v>887</v>
      </c>
      <c r="E158" s="3" t="s">
        <v>904</v>
      </c>
      <c r="F158" s="3" t="s">
        <v>905</v>
      </c>
      <c r="G158" s="6">
        <v>31</v>
      </c>
      <c r="H158" s="3" t="s">
        <v>120</v>
      </c>
      <c r="I158" s="5"/>
      <c r="J158" s="5"/>
      <c r="K158" s="3"/>
      <c r="L158" s="3" t="s">
        <v>358</v>
      </c>
      <c r="M158" s="3" t="s">
        <v>359</v>
      </c>
      <c r="N158" s="5">
        <v>-0.06</v>
      </c>
      <c r="O158" s="5"/>
      <c r="P158" s="5"/>
      <c r="Q158" s="5"/>
      <c r="R158" s="3" t="s">
        <v>719</v>
      </c>
      <c r="S158" s="3" t="s">
        <v>891</v>
      </c>
      <c r="T158" s="3"/>
      <c r="U158" s="3" t="s">
        <v>892</v>
      </c>
      <c r="V158" s="3" t="s">
        <v>352</v>
      </c>
      <c r="W158" s="3" t="s">
        <v>362</v>
      </c>
      <c r="X158" s="3" t="s">
        <v>363</v>
      </c>
    </row>
    <row r="159" spans="1:24" ht="46.05" customHeight="1">
      <c r="A159" s="3" t="s">
        <v>906</v>
      </c>
      <c r="B159" s="3" t="s">
        <v>347</v>
      </c>
      <c r="C159" s="3">
        <v>2020</v>
      </c>
      <c r="D159" s="3" t="s">
        <v>887</v>
      </c>
      <c r="E159" s="3" t="s">
        <v>907</v>
      </c>
      <c r="F159" s="3" t="s">
        <v>905</v>
      </c>
      <c r="G159" s="6">
        <v>31</v>
      </c>
      <c r="H159" s="3" t="s">
        <v>120</v>
      </c>
      <c r="I159" s="5"/>
      <c r="J159" s="5"/>
      <c r="K159" s="3"/>
      <c r="L159" s="3" t="s">
        <v>358</v>
      </c>
      <c r="M159" s="3" t="s">
        <v>359</v>
      </c>
      <c r="N159" s="5">
        <v>-0.1</v>
      </c>
      <c r="O159" s="5"/>
      <c r="P159" s="5"/>
      <c r="Q159" s="5"/>
      <c r="R159" s="3" t="s">
        <v>719</v>
      </c>
      <c r="S159" s="3" t="s">
        <v>891</v>
      </c>
      <c r="T159" s="3"/>
      <c r="U159" s="3" t="s">
        <v>892</v>
      </c>
      <c r="V159" s="3" t="s">
        <v>352</v>
      </c>
      <c r="W159" s="3" t="s">
        <v>362</v>
      </c>
      <c r="X159" s="3" t="s">
        <v>363</v>
      </c>
    </row>
    <row r="160" spans="1:24" ht="46.05" customHeight="1">
      <c r="A160" s="3" t="s">
        <v>908</v>
      </c>
      <c r="B160" s="3" t="s">
        <v>364</v>
      </c>
      <c r="C160" s="3">
        <v>2021</v>
      </c>
      <c r="D160" s="3" t="s">
        <v>25</v>
      </c>
      <c r="E160" s="3" t="s">
        <v>909</v>
      </c>
      <c r="F160" s="3" t="s">
        <v>910</v>
      </c>
      <c r="G160" s="6"/>
      <c r="H160" s="3" t="s">
        <v>373</v>
      </c>
      <c r="I160" s="5"/>
      <c r="J160" s="5"/>
      <c r="K160" s="3"/>
      <c r="L160" s="3" t="s">
        <v>374</v>
      </c>
      <c r="M160" s="3" t="s">
        <v>155</v>
      </c>
      <c r="N160" s="5">
        <v>0.93</v>
      </c>
      <c r="O160" s="5"/>
      <c r="P160" s="5"/>
      <c r="Q160" s="5"/>
      <c r="R160" s="3" t="s">
        <v>911</v>
      </c>
      <c r="S160" s="3" t="s">
        <v>912</v>
      </c>
      <c r="T160" s="3"/>
      <c r="U160" s="3" t="s">
        <v>913</v>
      </c>
      <c r="V160" s="3" t="s">
        <v>369</v>
      </c>
      <c r="W160" s="3" t="s">
        <v>284</v>
      </c>
      <c r="X160" s="3" t="s">
        <v>377</v>
      </c>
    </row>
    <row r="161" spans="1:24" ht="46.05" customHeight="1">
      <c r="A161" s="3" t="s">
        <v>914</v>
      </c>
      <c r="B161" s="3" t="s">
        <v>364</v>
      </c>
      <c r="C161" s="3">
        <v>2021</v>
      </c>
      <c r="D161" s="3" t="s">
        <v>25</v>
      </c>
      <c r="E161" s="3" t="s">
        <v>909</v>
      </c>
      <c r="F161" s="3" t="s">
        <v>910</v>
      </c>
      <c r="G161" s="6"/>
      <c r="H161" s="3" t="s">
        <v>373</v>
      </c>
      <c r="I161" s="5"/>
      <c r="J161" s="5"/>
      <c r="K161" s="3"/>
      <c r="L161" s="3" t="s">
        <v>374</v>
      </c>
      <c r="M161" s="3" t="s">
        <v>155</v>
      </c>
      <c r="N161" s="5">
        <v>0.97</v>
      </c>
      <c r="O161" s="5"/>
      <c r="P161" s="5"/>
      <c r="Q161" s="5"/>
      <c r="R161" s="3" t="s">
        <v>911</v>
      </c>
      <c r="S161" s="3" t="s">
        <v>915</v>
      </c>
      <c r="T161" s="3"/>
      <c r="U161" s="3" t="s">
        <v>913</v>
      </c>
      <c r="V161" s="3" t="s">
        <v>369</v>
      </c>
      <c r="W161" s="3" t="s">
        <v>284</v>
      </c>
      <c r="X161" s="3" t="s">
        <v>377</v>
      </c>
    </row>
    <row r="162" spans="1:24" ht="46.05" customHeight="1">
      <c r="A162" s="3" t="s">
        <v>916</v>
      </c>
      <c r="B162" s="3" t="s">
        <v>378</v>
      </c>
      <c r="C162" s="3">
        <v>2022</v>
      </c>
      <c r="D162" s="3" t="s">
        <v>25</v>
      </c>
      <c r="E162" s="3" t="s">
        <v>917</v>
      </c>
      <c r="F162" s="3" t="s">
        <v>464</v>
      </c>
      <c r="G162" s="6">
        <v>28</v>
      </c>
      <c r="H162" s="3" t="s">
        <v>120</v>
      </c>
      <c r="I162" s="5"/>
      <c r="J162" s="5"/>
      <c r="K162" s="3"/>
      <c r="L162" s="3" t="s">
        <v>387</v>
      </c>
      <c r="M162" s="3" t="s">
        <v>297</v>
      </c>
      <c r="N162" s="5"/>
      <c r="O162" s="5"/>
      <c r="P162" s="5"/>
      <c r="Q162" s="5"/>
      <c r="R162" s="3" t="s">
        <v>770</v>
      </c>
      <c r="S162" s="3" t="s">
        <v>918</v>
      </c>
      <c r="T162" s="3" t="s">
        <v>562</v>
      </c>
      <c r="U162" s="3" t="s">
        <v>919</v>
      </c>
      <c r="V162" s="3" t="s">
        <v>383</v>
      </c>
      <c r="W162" s="3" t="s">
        <v>190</v>
      </c>
      <c r="X162" s="3" t="s">
        <v>390</v>
      </c>
    </row>
    <row r="163" spans="1:24" ht="46.05" customHeight="1">
      <c r="A163" s="3" t="s">
        <v>920</v>
      </c>
      <c r="B163" s="3" t="s">
        <v>391</v>
      </c>
      <c r="C163" s="3">
        <v>2022</v>
      </c>
      <c r="D163" s="3" t="s">
        <v>25</v>
      </c>
      <c r="E163" s="3" t="s">
        <v>921</v>
      </c>
      <c r="F163" s="3" t="s">
        <v>922</v>
      </c>
      <c r="G163" s="6">
        <v>16</v>
      </c>
      <c r="H163" s="3" t="s">
        <v>400</v>
      </c>
      <c r="I163" s="5"/>
      <c r="J163" s="5"/>
      <c r="K163" s="3"/>
      <c r="L163" s="3" t="s">
        <v>401</v>
      </c>
      <c r="M163" s="3" t="s">
        <v>402</v>
      </c>
      <c r="N163" s="5"/>
      <c r="O163" s="5"/>
      <c r="P163" s="5"/>
      <c r="Q163" s="5"/>
      <c r="R163" s="3" t="s">
        <v>770</v>
      </c>
      <c r="S163" s="3" t="s">
        <v>923</v>
      </c>
      <c r="T163" s="3"/>
      <c r="U163" s="3" t="s">
        <v>924</v>
      </c>
      <c r="V163" s="3" t="s">
        <v>396</v>
      </c>
      <c r="W163" s="3" t="s">
        <v>405</v>
      </c>
      <c r="X163" s="3" t="s">
        <v>406</v>
      </c>
    </row>
    <row r="164" spans="1:24" ht="46.05" customHeight="1">
      <c r="A164" s="3" t="s">
        <v>925</v>
      </c>
      <c r="B164" s="3" t="s">
        <v>407</v>
      </c>
      <c r="C164" s="3">
        <v>2022</v>
      </c>
      <c r="D164" s="3" t="s">
        <v>24</v>
      </c>
      <c r="E164" s="3" t="s">
        <v>926</v>
      </c>
      <c r="F164" s="3" t="s">
        <v>927</v>
      </c>
      <c r="G164" s="6">
        <v>11</v>
      </c>
      <c r="H164" s="3" t="s">
        <v>120</v>
      </c>
      <c r="I164" s="5"/>
      <c r="J164" s="5"/>
      <c r="K164" s="3"/>
      <c r="L164" s="3" t="s">
        <v>415</v>
      </c>
      <c r="M164" s="3" t="s">
        <v>155</v>
      </c>
      <c r="N164" s="5">
        <v>197.7</v>
      </c>
      <c r="O164" s="5">
        <v>5.9</v>
      </c>
      <c r="P164" s="5"/>
      <c r="Q164" s="5"/>
      <c r="R164" s="3" t="s">
        <v>550</v>
      </c>
      <c r="S164" s="3" t="s">
        <v>571</v>
      </c>
      <c r="T164" s="3"/>
      <c r="U164" s="3"/>
      <c r="V164" s="3" t="s">
        <v>411</v>
      </c>
      <c r="W164" s="3" t="s">
        <v>190</v>
      </c>
      <c r="X164" s="3" t="s">
        <v>928</v>
      </c>
    </row>
    <row r="165" spans="1:24" ht="46.05" customHeight="1">
      <c r="A165" s="3" t="s">
        <v>929</v>
      </c>
      <c r="B165" s="3" t="s">
        <v>407</v>
      </c>
      <c r="C165" s="3">
        <v>2022</v>
      </c>
      <c r="D165" s="3" t="s">
        <v>24</v>
      </c>
      <c r="E165" s="3" t="s">
        <v>926</v>
      </c>
      <c r="F165" s="3" t="s">
        <v>930</v>
      </c>
      <c r="G165" s="6">
        <v>11</v>
      </c>
      <c r="H165" s="3" t="s">
        <v>120</v>
      </c>
      <c r="I165" s="5"/>
      <c r="J165" s="5"/>
      <c r="K165" s="3"/>
      <c r="L165" s="3" t="s">
        <v>415</v>
      </c>
      <c r="M165" s="3" t="s">
        <v>155</v>
      </c>
      <c r="N165" s="5">
        <v>196.5</v>
      </c>
      <c r="O165" s="5">
        <v>8.6999999999999993</v>
      </c>
      <c r="P165" s="5"/>
      <c r="Q165" s="5"/>
      <c r="R165" s="3" t="s">
        <v>550</v>
      </c>
      <c r="S165" s="3" t="s">
        <v>571</v>
      </c>
      <c r="T165" s="3"/>
      <c r="U165" s="3"/>
      <c r="V165" s="3" t="s">
        <v>411</v>
      </c>
      <c r="W165" s="3" t="s">
        <v>190</v>
      </c>
      <c r="X165" s="3" t="s">
        <v>928</v>
      </c>
    </row>
    <row r="166" spans="1:24" ht="46.05" customHeight="1">
      <c r="A166" s="3" t="s">
        <v>931</v>
      </c>
      <c r="B166" s="3" t="s">
        <v>407</v>
      </c>
      <c r="C166" s="3">
        <v>2022</v>
      </c>
      <c r="D166" s="3" t="s">
        <v>24</v>
      </c>
      <c r="E166" s="3" t="s">
        <v>926</v>
      </c>
      <c r="F166" s="3" t="s">
        <v>932</v>
      </c>
      <c r="G166" s="6">
        <v>11</v>
      </c>
      <c r="H166" s="3" t="s">
        <v>120</v>
      </c>
      <c r="I166" s="5"/>
      <c r="J166" s="5"/>
      <c r="K166" s="3"/>
      <c r="L166" s="3" t="s">
        <v>415</v>
      </c>
      <c r="M166" s="3" t="s">
        <v>155</v>
      </c>
      <c r="N166" s="5">
        <v>179.8</v>
      </c>
      <c r="O166" s="5">
        <v>9.1999999999999993</v>
      </c>
      <c r="P166" s="5"/>
      <c r="Q166" s="5"/>
      <c r="R166" s="3" t="s">
        <v>550</v>
      </c>
      <c r="S166" s="3" t="s">
        <v>571</v>
      </c>
      <c r="T166" s="3"/>
      <c r="U166" s="3"/>
      <c r="V166" s="3" t="s">
        <v>411</v>
      </c>
      <c r="W166" s="3" t="s">
        <v>190</v>
      </c>
      <c r="X166" s="3" t="s">
        <v>928</v>
      </c>
    </row>
    <row r="167" spans="1:24" ht="46.05" customHeight="1">
      <c r="A167" s="3" t="s">
        <v>933</v>
      </c>
      <c r="B167" s="3" t="s">
        <v>407</v>
      </c>
      <c r="C167" s="3">
        <v>2022</v>
      </c>
      <c r="D167" s="3" t="s">
        <v>24</v>
      </c>
      <c r="E167" s="3" t="s">
        <v>926</v>
      </c>
      <c r="F167" s="3" t="s">
        <v>934</v>
      </c>
      <c r="G167" s="6">
        <v>11</v>
      </c>
      <c r="H167" s="3" t="s">
        <v>120</v>
      </c>
      <c r="I167" s="5"/>
      <c r="J167" s="5"/>
      <c r="K167" s="3"/>
      <c r="L167" s="3" t="s">
        <v>415</v>
      </c>
      <c r="M167" s="3" t="s">
        <v>155</v>
      </c>
      <c r="N167" s="5">
        <v>184.1</v>
      </c>
      <c r="O167" s="5">
        <v>12.2</v>
      </c>
      <c r="P167" s="5"/>
      <c r="Q167" s="5"/>
      <c r="R167" s="3" t="s">
        <v>550</v>
      </c>
      <c r="S167" s="3" t="s">
        <v>571</v>
      </c>
      <c r="T167" s="3"/>
      <c r="U167" s="3"/>
      <c r="V167" s="3" t="s">
        <v>411</v>
      </c>
      <c r="W167" s="3" t="s">
        <v>190</v>
      </c>
      <c r="X167" s="3" t="s">
        <v>928</v>
      </c>
    </row>
    <row r="168" spans="1:24" ht="46.05" customHeight="1">
      <c r="A168" s="3" t="s">
        <v>935</v>
      </c>
      <c r="B168" s="3" t="s">
        <v>407</v>
      </c>
      <c r="C168" s="3">
        <v>2022</v>
      </c>
      <c r="D168" s="3" t="s">
        <v>24</v>
      </c>
      <c r="E168" s="3" t="s">
        <v>704</v>
      </c>
      <c r="F168" s="3" t="s">
        <v>930</v>
      </c>
      <c r="G168" s="6">
        <v>11</v>
      </c>
      <c r="H168" s="3" t="s">
        <v>120</v>
      </c>
      <c r="I168" s="5"/>
      <c r="J168" s="5"/>
      <c r="K168" s="3"/>
      <c r="L168" s="3" t="s">
        <v>415</v>
      </c>
      <c r="M168" s="3" t="s">
        <v>155</v>
      </c>
      <c r="N168" s="5">
        <v>55.3</v>
      </c>
      <c r="O168" s="5">
        <v>5.9</v>
      </c>
      <c r="P168" s="5"/>
      <c r="Q168" s="5"/>
      <c r="R168" s="3" t="s">
        <v>560</v>
      </c>
      <c r="S168" s="3" t="s">
        <v>571</v>
      </c>
      <c r="T168" s="3"/>
      <c r="U168" s="3"/>
      <c r="V168" s="3" t="s">
        <v>411</v>
      </c>
      <c r="W168" s="3" t="s">
        <v>190</v>
      </c>
      <c r="X168" s="3" t="s">
        <v>928</v>
      </c>
    </row>
    <row r="169" spans="1:24" ht="46.05" customHeight="1">
      <c r="A169" s="3" t="s">
        <v>936</v>
      </c>
      <c r="B169" s="3" t="s">
        <v>407</v>
      </c>
      <c r="C169" s="3">
        <v>2022</v>
      </c>
      <c r="D169" s="3" t="s">
        <v>24</v>
      </c>
      <c r="E169" s="3" t="s">
        <v>937</v>
      </c>
      <c r="F169" s="3" t="s">
        <v>934</v>
      </c>
      <c r="G169" s="6">
        <v>11</v>
      </c>
      <c r="H169" s="3" t="s">
        <v>120</v>
      </c>
      <c r="I169" s="5"/>
      <c r="J169" s="5"/>
      <c r="K169" s="3"/>
      <c r="L169" s="3" t="s">
        <v>415</v>
      </c>
      <c r="M169" s="3" t="s">
        <v>155</v>
      </c>
      <c r="N169" s="5">
        <v>1.26</v>
      </c>
      <c r="O169" s="5">
        <v>0.09</v>
      </c>
      <c r="P169" s="5"/>
      <c r="Q169" s="5"/>
      <c r="R169" s="3" t="s">
        <v>938</v>
      </c>
      <c r="S169" s="3" t="s">
        <v>571</v>
      </c>
      <c r="T169" s="3"/>
      <c r="U169" s="3"/>
      <c r="V169" s="3" t="s">
        <v>411</v>
      </c>
      <c r="W169" s="3" t="s">
        <v>190</v>
      </c>
      <c r="X169" s="3" t="s">
        <v>928</v>
      </c>
    </row>
    <row r="170" spans="1:24" ht="46.05" customHeight="1">
      <c r="A170" s="3" t="s">
        <v>939</v>
      </c>
      <c r="B170" s="3" t="s">
        <v>407</v>
      </c>
      <c r="C170" s="3">
        <v>2022</v>
      </c>
      <c r="D170" s="3" t="s">
        <v>24</v>
      </c>
      <c r="E170" s="3" t="s">
        <v>940</v>
      </c>
      <c r="F170" s="3" t="s">
        <v>926</v>
      </c>
      <c r="G170" s="6">
        <v>11</v>
      </c>
      <c r="H170" s="3" t="s">
        <v>120</v>
      </c>
      <c r="I170" s="5"/>
      <c r="J170" s="5"/>
      <c r="K170" s="3"/>
      <c r="L170" s="3" t="s">
        <v>415</v>
      </c>
      <c r="M170" s="3" t="s">
        <v>155</v>
      </c>
      <c r="N170" s="5">
        <v>0.72</v>
      </c>
      <c r="O170" s="5"/>
      <c r="P170" s="5"/>
      <c r="Q170" s="5"/>
      <c r="R170" s="3" t="s">
        <v>911</v>
      </c>
      <c r="S170" s="3" t="s">
        <v>941</v>
      </c>
      <c r="T170" s="3" t="s">
        <v>942</v>
      </c>
      <c r="U170" s="3"/>
      <c r="V170" s="3" t="s">
        <v>411</v>
      </c>
      <c r="W170" s="3" t="s">
        <v>190</v>
      </c>
      <c r="X170" s="3" t="s">
        <v>928</v>
      </c>
    </row>
    <row r="171" spans="1:24" ht="46.05" customHeight="1">
      <c r="A171" s="3" t="s">
        <v>943</v>
      </c>
      <c r="B171" s="3" t="s">
        <v>407</v>
      </c>
      <c r="C171" s="3">
        <v>2022</v>
      </c>
      <c r="D171" s="3" t="s">
        <v>24</v>
      </c>
      <c r="E171" s="3" t="s">
        <v>944</v>
      </c>
      <c r="F171" s="3" t="s">
        <v>926</v>
      </c>
      <c r="G171" s="6">
        <v>11</v>
      </c>
      <c r="H171" s="3" t="s">
        <v>120</v>
      </c>
      <c r="I171" s="5"/>
      <c r="J171" s="5"/>
      <c r="K171" s="3"/>
      <c r="L171" s="3" t="s">
        <v>415</v>
      </c>
      <c r="M171" s="3" t="s">
        <v>155</v>
      </c>
      <c r="N171" s="5">
        <v>0.59699999999999998</v>
      </c>
      <c r="O171" s="5"/>
      <c r="P171" s="5"/>
      <c r="Q171" s="5"/>
      <c r="R171" s="3" t="s">
        <v>911</v>
      </c>
      <c r="S171" s="3" t="s">
        <v>941</v>
      </c>
      <c r="T171" s="3" t="s">
        <v>945</v>
      </c>
      <c r="U171" s="3"/>
      <c r="V171" s="3" t="s">
        <v>411</v>
      </c>
      <c r="W171" s="3" t="s">
        <v>190</v>
      </c>
      <c r="X171" s="3" t="s">
        <v>928</v>
      </c>
    </row>
    <row r="172" spans="1:24" ht="46.05" customHeight="1">
      <c r="A172" s="3" t="s">
        <v>946</v>
      </c>
      <c r="B172" s="3" t="s">
        <v>407</v>
      </c>
      <c r="C172" s="3">
        <v>2022</v>
      </c>
      <c r="D172" s="3" t="s">
        <v>24</v>
      </c>
      <c r="E172" s="3" t="s">
        <v>947</v>
      </c>
      <c r="F172" s="3" t="s">
        <v>926</v>
      </c>
      <c r="G172" s="6">
        <v>11</v>
      </c>
      <c r="H172" s="3" t="s">
        <v>120</v>
      </c>
      <c r="I172" s="5"/>
      <c r="J172" s="5"/>
      <c r="K172" s="3"/>
      <c r="L172" s="3" t="s">
        <v>415</v>
      </c>
      <c r="M172" s="3" t="s">
        <v>155</v>
      </c>
      <c r="N172" s="5">
        <v>0.70199999999999996</v>
      </c>
      <c r="O172" s="5"/>
      <c r="P172" s="5"/>
      <c r="Q172" s="5"/>
      <c r="R172" s="3" t="s">
        <v>911</v>
      </c>
      <c r="S172" s="3" t="s">
        <v>941</v>
      </c>
      <c r="T172" s="3" t="s">
        <v>948</v>
      </c>
      <c r="U172" s="3"/>
      <c r="V172" s="3" t="s">
        <v>411</v>
      </c>
      <c r="W172" s="3" t="s">
        <v>190</v>
      </c>
      <c r="X172" s="3" t="s">
        <v>928</v>
      </c>
    </row>
    <row r="173" spans="1:24" ht="46.05" customHeight="1">
      <c r="A173" s="3" t="s">
        <v>949</v>
      </c>
      <c r="B173" s="3" t="s">
        <v>419</v>
      </c>
      <c r="C173" s="3">
        <v>2022</v>
      </c>
      <c r="D173" s="3" t="s">
        <v>25</v>
      </c>
      <c r="E173" s="3" t="s">
        <v>950</v>
      </c>
      <c r="F173" s="3" t="s">
        <v>951</v>
      </c>
      <c r="G173" s="6">
        <v>18</v>
      </c>
      <c r="H173" s="3" t="s">
        <v>428</v>
      </c>
      <c r="I173" s="5"/>
      <c r="J173" s="5"/>
      <c r="K173" s="3"/>
      <c r="L173" s="3" t="s">
        <v>429</v>
      </c>
      <c r="M173" s="3" t="s">
        <v>155</v>
      </c>
      <c r="N173" s="5"/>
      <c r="O173" s="5"/>
      <c r="P173" s="5"/>
      <c r="Q173" s="5"/>
      <c r="R173" s="3" t="s">
        <v>952</v>
      </c>
      <c r="S173" s="3" t="s">
        <v>828</v>
      </c>
      <c r="T173" s="3"/>
      <c r="U173" s="3" t="s">
        <v>953</v>
      </c>
      <c r="V173" s="3" t="s">
        <v>424</v>
      </c>
      <c r="W173" s="3" t="s">
        <v>432</v>
      </c>
      <c r="X173" s="3" t="s">
        <v>954</v>
      </c>
    </row>
    <row r="174" spans="1:24" ht="46.05" customHeight="1">
      <c r="A174" s="3" t="s">
        <v>955</v>
      </c>
      <c r="B174" s="3" t="s">
        <v>434</v>
      </c>
      <c r="C174" s="3">
        <v>2022</v>
      </c>
      <c r="D174" s="3" t="s">
        <v>26</v>
      </c>
      <c r="E174" s="3" t="s">
        <v>956</v>
      </c>
      <c r="F174" s="3" t="s">
        <v>957</v>
      </c>
      <c r="G174" s="6"/>
      <c r="H174" s="3" t="s">
        <v>445</v>
      </c>
      <c r="I174" s="5"/>
      <c r="J174" s="5"/>
      <c r="K174" s="3"/>
      <c r="L174" s="3" t="s">
        <v>447</v>
      </c>
      <c r="M174" s="3" t="s">
        <v>448</v>
      </c>
      <c r="N174" s="5">
        <v>83.3</v>
      </c>
      <c r="O174" s="5"/>
      <c r="P174" s="5"/>
      <c r="Q174" s="5"/>
      <c r="R174" s="3" t="s">
        <v>631</v>
      </c>
      <c r="S174" s="3" t="s">
        <v>958</v>
      </c>
      <c r="T174" s="3"/>
      <c r="U174" s="3" t="s">
        <v>959</v>
      </c>
      <c r="V174" s="3" t="s">
        <v>439</v>
      </c>
      <c r="W174" s="3" t="s">
        <v>451</v>
      </c>
      <c r="X174" s="3" t="s">
        <v>452</v>
      </c>
    </row>
    <row r="175" spans="1:24" ht="46.05" customHeight="1">
      <c r="A175" s="3" t="s">
        <v>960</v>
      </c>
      <c r="B175" s="3" t="s">
        <v>434</v>
      </c>
      <c r="C175" s="3">
        <v>2022</v>
      </c>
      <c r="D175" s="3" t="s">
        <v>26</v>
      </c>
      <c r="E175" s="3" t="s">
        <v>956</v>
      </c>
      <c r="F175" s="3" t="s">
        <v>961</v>
      </c>
      <c r="G175" s="6"/>
      <c r="H175" s="3" t="s">
        <v>445</v>
      </c>
      <c r="I175" s="5"/>
      <c r="J175" s="5"/>
      <c r="K175" s="3"/>
      <c r="L175" s="3" t="s">
        <v>447</v>
      </c>
      <c r="M175" s="3" t="s">
        <v>448</v>
      </c>
      <c r="N175" s="5">
        <v>68.5</v>
      </c>
      <c r="O175" s="5"/>
      <c r="P175" s="5"/>
      <c r="Q175" s="5"/>
      <c r="R175" s="3" t="s">
        <v>631</v>
      </c>
      <c r="S175" s="3" t="s">
        <v>958</v>
      </c>
      <c r="T175" s="3"/>
      <c r="U175" s="3" t="s">
        <v>959</v>
      </c>
      <c r="V175" s="3" t="s">
        <v>439</v>
      </c>
      <c r="W175" s="3" t="s">
        <v>451</v>
      </c>
      <c r="X175" s="3" t="s">
        <v>452</v>
      </c>
    </row>
    <row r="176" spans="1:24" ht="46.05" customHeight="1">
      <c r="A176" s="3" t="s">
        <v>962</v>
      </c>
      <c r="B176" s="3" t="s">
        <v>434</v>
      </c>
      <c r="C176" s="3">
        <v>2022</v>
      </c>
      <c r="D176" s="3" t="s">
        <v>26</v>
      </c>
      <c r="E176" s="3" t="s">
        <v>963</v>
      </c>
      <c r="F176" s="3" t="s">
        <v>964</v>
      </c>
      <c r="G176" s="6"/>
      <c r="H176" s="3" t="s">
        <v>445</v>
      </c>
      <c r="I176" s="5"/>
      <c r="J176" s="5"/>
      <c r="K176" s="3"/>
      <c r="L176" s="3" t="s">
        <v>447</v>
      </c>
      <c r="M176" s="3" t="s">
        <v>448</v>
      </c>
      <c r="N176" s="5">
        <v>1.24</v>
      </c>
      <c r="O176" s="5"/>
      <c r="P176" s="5">
        <v>0.8</v>
      </c>
      <c r="Q176" s="5">
        <v>1.68</v>
      </c>
      <c r="R176" s="3" t="s">
        <v>965</v>
      </c>
      <c r="S176" s="3" t="s">
        <v>966</v>
      </c>
      <c r="T176" s="3"/>
      <c r="U176" s="3" t="s">
        <v>967</v>
      </c>
      <c r="V176" s="3" t="s">
        <v>439</v>
      </c>
      <c r="W176" s="3" t="s">
        <v>451</v>
      </c>
      <c r="X176" s="3" t="s">
        <v>452</v>
      </c>
    </row>
    <row r="177" spans="1:24" ht="46.05" customHeight="1">
      <c r="A177" s="3" t="s">
        <v>968</v>
      </c>
      <c r="B177" s="3" t="s">
        <v>434</v>
      </c>
      <c r="C177" s="3">
        <v>2022</v>
      </c>
      <c r="D177" s="3" t="s">
        <v>26</v>
      </c>
      <c r="E177" s="3" t="s">
        <v>969</v>
      </c>
      <c r="F177" s="3" t="s">
        <v>964</v>
      </c>
      <c r="G177" s="6"/>
      <c r="H177" s="3" t="s">
        <v>445</v>
      </c>
      <c r="I177" s="5"/>
      <c r="J177" s="5"/>
      <c r="K177" s="3"/>
      <c r="L177" s="3" t="s">
        <v>447</v>
      </c>
      <c r="M177" s="3" t="s">
        <v>448</v>
      </c>
      <c r="N177" s="5">
        <v>-1</v>
      </c>
      <c r="O177" s="5"/>
      <c r="P177" s="5">
        <v>-1.1399999999999999</v>
      </c>
      <c r="Q177" s="5">
        <v>-0.86</v>
      </c>
      <c r="R177" s="3" t="s">
        <v>965</v>
      </c>
      <c r="S177" s="3" t="s">
        <v>966</v>
      </c>
      <c r="T177" s="3"/>
      <c r="U177" s="3" t="s">
        <v>970</v>
      </c>
      <c r="V177" s="3" t="s">
        <v>439</v>
      </c>
      <c r="W177" s="3" t="s">
        <v>451</v>
      </c>
      <c r="X177" s="3" t="s">
        <v>971</v>
      </c>
    </row>
    <row r="178" spans="1:24" ht="46.05" customHeight="1">
      <c r="A178" s="3" t="s">
        <v>972</v>
      </c>
      <c r="B178" s="3" t="s">
        <v>434</v>
      </c>
      <c r="C178" s="3">
        <v>2022</v>
      </c>
      <c r="D178" s="3" t="s">
        <v>26</v>
      </c>
      <c r="E178" s="3" t="s">
        <v>973</v>
      </c>
      <c r="F178" s="3" t="s">
        <v>964</v>
      </c>
      <c r="G178" s="6"/>
      <c r="H178" s="3" t="s">
        <v>445</v>
      </c>
      <c r="I178" s="5"/>
      <c r="J178" s="5"/>
      <c r="K178" s="3"/>
      <c r="L178" s="3" t="s">
        <v>447</v>
      </c>
      <c r="M178" s="3" t="s">
        <v>448</v>
      </c>
      <c r="N178" s="5">
        <v>-2.04</v>
      </c>
      <c r="O178" s="5"/>
      <c r="P178" s="5">
        <v>-3.32</v>
      </c>
      <c r="Q178" s="5">
        <v>-0.77</v>
      </c>
      <c r="R178" s="3" t="s">
        <v>965</v>
      </c>
      <c r="S178" s="3" t="s">
        <v>966</v>
      </c>
      <c r="T178" s="3"/>
      <c r="U178" s="3"/>
      <c r="V178" s="3" t="s">
        <v>439</v>
      </c>
      <c r="W178" s="3" t="s">
        <v>451</v>
      </c>
      <c r="X178" s="3" t="s">
        <v>452</v>
      </c>
    </row>
    <row r="179" spans="1:24" ht="46.05" customHeight="1">
      <c r="A179" s="3" t="s">
        <v>974</v>
      </c>
      <c r="B179" s="3" t="s">
        <v>434</v>
      </c>
      <c r="C179" s="3">
        <v>2022</v>
      </c>
      <c r="D179" s="3" t="s">
        <v>26</v>
      </c>
      <c r="E179" s="3" t="s">
        <v>975</v>
      </c>
      <c r="F179" s="3" t="s">
        <v>964</v>
      </c>
      <c r="G179" s="6"/>
      <c r="H179" s="3" t="s">
        <v>445</v>
      </c>
      <c r="I179" s="5"/>
      <c r="J179" s="5"/>
      <c r="K179" s="3"/>
      <c r="L179" s="3" t="s">
        <v>447</v>
      </c>
      <c r="M179" s="3" t="s">
        <v>448</v>
      </c>
      <c r="N179" s="5">
        <v>0.64</v>
      </c>
      <c r="O179" s="5"/>
      <c r="P179" s="5">
        <v>-0.25</v>
      </c>
      <c r="Q179" s="5">
        <v>1.54</v>
      </c>
      <c r="R179" s="3" t="s">
        <v>965</v>
      </c>
      <c r="S179" s="3" t="s">
        <v>966</v>
      </c>
      <c r="T179" s="3" t="s">
        <v>976</v>
      </c>
      <c r="U179" s="3"/>
      <c r="V179" s="3" t="s">
        <v>439</v>
      </c>
      <c r="W179" s="3" t="s">
        <v>451</v>
      </c>
      <c r="X179" s="3" t="s">
        <v>452</v>
      </c>
    </row>
    <row r="180" spans="1:24" ht="46.05" customHeight="1">
      <c r="A180" s="3" t="s">
        <v>977</v>
      </c>
      <c r="B180" s="3" t="s">
        <v>453</v>
      </c>
      <c r="C180" s="3">
        <v>2023</v>
      </c>
      <c r="D180" s="3" t="s">
        <v>24</v>
      </c>
      <c r="E180" s="3" t="s">
        <v>978</v>
      </c>
      <c r="F180" s="3" t="s">
        <v>979</v>
      </c>
      <c r="G180" s="6">
        <v>10</v>
      </c>
      <c r="H180" s="3" t="s">
        <v>462</v>
      </c>
      <c r="I180" s="5"/>
      <c r="J180" s="5"/>
      <c r="K180" s="3"/>
      <c r="L180" s="3" t="s">
        <v>464</v>
      </c>
      <c r="M180" s="3" t="s">
        <v>155</v>
      </c>
      <c r="N180" s="5">
        <v>15</v>
      </c>
      <c r="O180" s="5"/>
      <c r="P180" s="5">
        <v>12</v>
      </c>
      <c r="Q180" s="5">
        <v>18</v>
      </c>
      <c r="R180" s="3" t="s">
        <v>555</v>
      </c>
      <c r="S180" s="3" t="s">
        <v>980</v>
      </c>
      <c r="T180" s="3"/>
      <c r="U180" s="3" t="s">
        <v>981</v>
      </c>
      <c r="V180" s="3" t="s">
        <v>458</v>
      </c>
      <c r="W180" s="3" t="s">
        <v>190</v>
      </c>
      <c r="X180" s="3" t="s">
        <v>467</v>
      </c>
    </row>
    <row r="181" spans="1:24" ht="46.05" customHeight="1">
      <c r="A181" s="3" t="s">
        <v>982</v>
      </c>
      <c r="B181" s="3" t="s">
        <v>453</v>
      </c>
      <c r="C181" s="3">
        <v>2023</v>
      </c>
      <c r="D181" s="3" t="s">
        <v>24</v>
      </c>
      <c r="E181" s="3" t="s">
        <v>983</v>
      </c>
      <c r="F181" s="3" t="s">
        <v>984</v>
      </c>
      <c r="G181" s="6">
        <v>10</v>
      </c>
      <c r="H181" s="3" t="s">
        <v>462</v>
      </c>
      <c r="I181" s="5"/>
      <c r="J181" s="5"/>
      <c r="K181" s="3"/>
      <c r="L181" s="3" t="s">
        <v>464</v>
      </c>
      <c r="M181" s="3" t="s">
        <v>155</v>
      </c>
      <c r="N181" s="5">
        <v>93</v>
      </c>
      <c r="O181" s="5"/>
      <c r="P181" s="5"/>
      <c r="Q181" s="5"/>
      <c r="R181" s="3" t="s">
        <v>745</v>
      </c>
      <c r="S181" s="3" t="s">
        <v>985</v>
      </c>
      <c r="T181" s="3"/>
      <c r="U181" s="3" t="s">
        <v>986</v>
      </c>
      <c r="V181" s="3" t="s">
        <v>458</v>
      </c>
      <c r="W181" s="3" t="s">
        <v>190</v>
      </c>
      <c r="X181" s="3" t="s">
        <v>467</v>
      </c>
    </row>
    <row r="182" spans="1:24" ht="46.05" customHeight="1">
      <c r="A182" s="3" t="s">
        <v>987</v>
      </c>
      <c r="B182" s="3" t="s">
        <v>453</v>
      </c>
      <c r="C182" s="3">
        <v>2023</v>
      </c>
      <c r="D182" s="3" t="s">
        <v>24</v>
      </c>
      <c r="E182" s="3" t="s">
        <v>988</v>
      </c>
      <c r="F182" s="3" t="s">
        <v>984</v>
      </c>
      <c r="G182" s="6">
        <v>10</v>
      </c>
      <c r="H182" s="3" t="s">
        <v>462</v>
      </c>
      <c r="I182" s="5"/>
      <c r="J182" s="5"/>
      <c r="K182" s="3"/>
      <c r="L182" s="3" t="s">
        <v>464</v>
      </c>
      <c r="M182" s="3" t="s">
        <v>155</v>
      </c>
      <c r="N182" s="5">
        <v>97</v>
      </c>
      <c r="O182" s="5"/>
      <c r="P182" s="5"/>
      <c r="Q182" s="5"/>
      <c r="R182" s="3" t="s">
        <v>745</v>
      </c>
      <c r="S182" s="3" t="s">
        <v>985</v>
      </c>
      <c r="T182" s="3"/>
      <c r="U182" s="3" t="s">
        <v>989</v>
      </c>
      <c r="V182" s="3" t="s">
        <v>458</v>
      </c>
      <c r="W182" s="3" t="s">
        <v>190</v>
      </c>
      <c r="X182" s="3" t="s">
        <v>467</v>
      </c>
    </row>
    <row r="183" spans="1:24" ht="46.05" customHeight="1">
      <c r="A183" s="3" t="s">
        <v>990</v>
      </c>
      <c r="B183" s="3" t="s">
        <v>453</v>
      </c>
      <c r="C183" s="3">
        <v>2023</v>
      </c>
      <c r="D183" s="3" t="s">
        <v>24</v>
      </c>
      <c r="E183" s="3" t="s">
        <v>991</v>
      </c>
      <c r="F183" s="3" t="s">
        <v>984</v>
      </c>
      <c r="G183" s="6">
        <v>10</v>
      </c>
      <c r="H183" s="3" t="s">
        <v>462</v>
      </c>
      <c r="I183" s="5"/>
      <c r="J183" s="5"/>
      <c r="K183" s="3"/>
      <c r="L183" s="3" t="s">
        <v>464</v>
      </c>
      <c r="M183" s="3" t="s">
        <v>155</v>
      </c>
      <c r="N183" s="5">
        <v>89</v>
      </c>
      <c r="O183" s="5"/>
      <c r="P183" s="5"/>
      <c r="Q183" s="5"/>
      <c r="R183" s="3" t="s">
        <v>992</v>
      </c>
      <c r="S183" s="3" t="s">
        <v>993</v>
      </c>
      <c r="T183" s="3"/>
      <c r="U183" s="3"/>
      <c r="V183" s="3" t="s">
        <v>458</v>
      </c>
      <c r="W183" s="3" t="s">
        <v>190</v>
      </c>
      <c r="X183" s="3" t="s">
        <v>467</v>
      </c>
    </row>
    <row r="184" spans="1:24" ht="46.05" customHeight="1">
      <c r="A184" s="3" t="s">
        <v>994</v>
      </c>
      <c r="B184" s="3" t="s">
        <v>453</v>
      </c>
      <c r="C184" s="3">
        <v>2023</v>
      </c>
      <c r="D184" s="3" t="s">
        <v>24</v>
      </c>
      <c r="E184" s="3" t="s">
        <v>995</v>
      </c>
      <c r="F184" s="3" t="s">
        <v>996</v>
      </c>
      <c r="G184" s="6">
        <v>10</v>
      </c>
      <c r="H184" s="3" t="s">
        <v>462</v>
      </c>
      <c r="I184" s="5"/>
      <c r="J184" s="5"/>
      <c r="K184" s="3"/>
      <c r="L184" s="3" t="s">
        <v>464</v>
      </c>
      <c r="M184" s="3" t="s">
        <v>155</v>
      </c>
      <c r="N184" s="5">
        <v>73</v>
      </c>
      <c r="O184" s="5"/>
      <c r="P184" s="5"/>
      <c r="Q184" s="5"/>
      <c r="R184" s="3" t="s">
        <v>631</v>
      </c>
      <c r="S184" s="3" t="s">
        <v>997</v>
      </c>
      <c r="T184" s="3"/>
      <c r="U184" s="3"/>
      <c r="V184" s="3" t="s">
        <v>458</v>
      </c>
      <c r="W184" s="3" t="s">
        <v>190</v>
      </c>
      <c r="X184" s="3" t="s">
        <v>998</v>
      </c>
    </row>
    <row r="185" spans="1:24" ht="46.05" customHeight="1">
      <c r="A185" s="3" t="s">
        <v>999</v>
      </c>
      <c r="B185" s="3" t="s">
        <v>453</v>
      </c>
      <c r="C185" s="3">
        <v>2023</v>
      </c>
      <c r="D185" s="3" t="s">
        <v>24</v>
      </c>
      <c r="E185" s="3" t="s">
        <v>1000</v>
      </c>
      <c r="F185" s="3" t="s">
        <v>996</v>
      </c>
      <c r="G185" s="6">
        <v>10</v>
      </c>
      <c r="H185" s="3" t="s">
        <v>462</v>
      </c>
      <c r="I185" s="5"/>
      <c r="J185" s="5"/>
      <c r="K185" s="3"/>
      <c r="L185" s="3" t="s">
        <v>464</v>
      </c>
      <c r="M185" s="3" t="s">
        <v>155</v>
      </c>
      <c r="N185" s="5">
        <v>19</v>
      </c>
      <c r="O185" s="5"/>
      <c r="P185" s="5"/>
      <c r="Q185" s="5"/>
      <c r="R185" s="3" t="s">
        <v>631</v>
      </c>
      <c r="S185" s="3" t="s">
        <v>997</v>
      </c>
      <c r="T185" s="3"/>
      <c r="U185" s="3"/>
      <c r="V185" s="3" t="s">
        <v>458</v>
      </c>
      <c r="W185" s="3" t="s">
        <v>190</v>
      </c>
      <c r="X185" s="3" t="s">
        <v>998</v>
      </c>
    </row>
    <row r="186" spans="1:24" ht="46.05" customHeight="1">
      <c r="A186" s="3" t="s">
        <v>1001</v>
      </c>
      <c r="B186" s="3" t="s">
        <v>453</v>
      </c>
      <c r="C186" s="3">
        <v>2023</v>
      </c>
      <c r="D186" s="3" t="s">
        <v>24</v>
      </c>
      <c r="E186" s="3" t="s">
        <v>1002</v>
      </c>
      <c r="F186" s="3" t="s">
        <v>996</v>
      </c>
      <c r="G186" s="6">
        <v>10</v>
      </c>
      <c r="H186" s="3" t="s">
        <v>462</v>
      </c>
      <c r="I186" s="5"/>
      <c r="J186" s="5"/>
      <c r="K186" s="3"/>
      <c r="L186" s="3" t="s">
        <v>464</v>
      </c>
      <c r="M186" s="3" t="s">
        <v>155</v>
      </c>
      <c r="N186" s="5">
        <v>8</v>
      </c>
      <c r="O186" s="5"/>
      <c r="P186" s="5"/>
      <c r="Q186" s="5"/>
      <c r="R186" s="3" t="s">
        <v>631</v>
      </c>
      <c r="S186" s="3" t="s">
        <v>997</v>
      </c>
      <c r="T186" s="3"/>
      <c r="U186" s="3"/>
      <c r="V186" s="3" t="s">
        <v>458</v>
      </c>
      <c r="W186" s="3" t="s">
        <v>190</v>
      </c>
      <c r="X186" s="3" t="s">
        <v>998</v>
      </c>
    </row>
    <row r="187" spans="1:24" ht="46.05" customHeight="1">
      <c r="A187" s="3" t="s">
        <v>1003</v>
      </c>
      <c r="B187" s="3" t="s">
        <v>453</v>
      </c>
      <c r="C187" s="3">
        <v>2023</v>
      </c>
      <c r="D187" s="3" t="s">
        <v>24</v>
      </c>
      <c r="E187" s="3" t="s">
        <v>1004</v>
      </c>
      <c r="F187" s="3" t="s">
        <v>1005</v>
      </c>
      <c r="G187" s="6">
        <v>10</v>
      </c>
      <c r="H187" s="3" t="s">
        <v>462</v>
      </c>
      <c r="I187" s="5"/>
      <c r="J187" s="5"/>
      <c r="K187" s="3"/>
      <c r="L187" s="3" t="s">
        <v>464</v>
      </c>
      <c r="M187" s="3" t="s">
        <v>155</v>
      </c>
      <c r="N187" s="5">
        <v>0.88500000000000001</v>
      </c>
      <c r="O187" s="5"/>
      <c r="P187" s="5"/>
      <c r="Q187" s="5"/>
      <c r="R187" s="3" t="s">
        <v>911</v>
      </c>
      <c r="S187" s="3" t="s">
        <v>941</v>
      </c>
      <c r="T187" s="3"/>
      <c r="U187" s="3"/>
      <c r="V187" s="3" t="s">
        <v>458</v>
      </c>
      <c r="W187" s="3" t="s">
        <v>190</v>
      </c>
      <c r="X187" s="3" t="s">
        <v>467</v>
      </c>
    </row>
    <row r="188" spans="1:24" ht="46.05" customHeight="1">
      <c r="A188" s="3" t="s">
        <v>1006</v>
      </c>
      <c r="B188" s="3" t="s">
        <v>468</v>
      </c>
      <c r="C188" s="3">
        <v>2023</v>
      </c>
      <c r="D188" s="3" t="s">
        <v>25</v>
      </c>
      <c r="E188" s="3" t="s">
        <v>1007</v>
      </c>
      <c r="F188" s="3" t="s">
        <v>1008</v>
      </c>
      <c r="G188" s="6">
        <v>10</v>
      </c>
      <c r="H188" s="3" t="s">
        <v>120</v>
      </c>
      <c r="I188" s="5">
        <v>19.7</v>
      </c>
      <c r="J188" s="5">
        <v>1.2</v>
      </c>
      <c r="K188" s="3"/>
      <c r="L188" s="3" t="s">
        <v>478</v>
      </c>
      <c r="M188" s="3" t="s">
        <v>479</v>
      </c>
      <c r="N188" s="5">
        <v>2624</v>
      </c>
      <c r="O188" s="5">
        <v>581</v>
      </c>
      <c r="P188" s="5"/>
      <c r="Q188" s="5"/>
      <c r="R188" s="3" t="s">
        <v>589</v>
      </c>
      <c r="S188" s="3" t="s">
        <v>571</v>
      </c>
      <c r="T188" s="3"/>
      <c r="U188" s="3"/>
      <c r="V188" s="3" t="s">
        <v>473</v>
      </c>
      <c r="W188" s="3" t="s">
        <v>482</v>
      </c>
      <c r="X188" s="3" t="s">
        <v>483</v>
      </c>
    </row>
    <row r="189" spans="1:24" ht="46.05" customHeight="1">
      <c r="A189" s="3" t="s">
        <v>1009</v>
      </c>
      <c r="B189" s="3" t="s">
        <v>468</v>
      </c>
      <c r="C189" s="3">
        <v>2023</v>
      </c>
      <c r="D189" s="3" t="s">
        <v>25</v>
      </c>
      <c r="E189" s="3" t="s">
        <v>1010</v>
      </c>
      <c r="F189" s="3" t="s">
        <v>1008</v>
      </c>
      <c r="G189" s="6">
        <v>10</v>
      </c>
      <c r="H189" s="3" t="s">
        <v>120</v>
      </c>
      <c r="I189" s="5">
        <v>19.7</v>
      </c>
      <c r="J189" s="5">
        <v>1.2</v>
      </c>
      <c r="K189" s="3"/>
      <c r="L189" s="3" t="s">
        <v>478</v>
      </c>
      <c r="M189" s="3" t="s">
        <v>479</v>
      </c>
      <c r="N189" s="5">
        <v>296448</v>
      </c>
      <c r="O189" s="5">
        <v>101823</v>
      </c>
      <c r="P189" s="5"/>
      <c r="Q189" s="5"/>
      <c r="R189" s="3" t="s">
        <v>1011</v>
      </c>
      <c r="S189" s="3" t="s">
        <v>571</v>
      </c>
      <c r="T189" s="3"/>
      <c r="U189" s="3"/>
      <c r="V189" s="3" t="s">
        <v>473</v>
      </c>
      <c r="W189" s="3" t="s">
        <v>482</v>
      </c>
      <c r="X189" s="3" t="s">
        <v>483</v>
      </c>
    </row>
    <row r="190" spans="1:24" ht="46.05" customHeight="1">
      <c r="A190" s="3" t="s">
        <v>1012</v>
      </c>
      <c r="B190" s="3" t="s">
        <v>468</v>
      </c>
      <c r="C190" s="3">
        <v>2023</v>
      </c>
      <c r="D190" s="3" t="s">
        <v>25</v>
      </c>
      <c r="E190" s="3" t="s">
        <v>1007</v>
      </c>
      <c r="F190" s="3" t="s">
        <v>1013</v>
      </c>
      <c r="G190" s="6">
        <v>10</v>
      </c>
      <c r="H190" s="3" t="s">
        <v>120</v>
      </c>
      <c r="I190" s="5">
        <v>19.7</v>
      </c>
      <c r="J190" s="5">
        <v>1.2</v>
      </c>
      <c r="K190" s="3"/>
      <c r="L190" s="3" t="s">
        <v>478</v>
      </c>
      <c r="M190" s="3" t="s">
        <v>479</v>
      </c>
      <c r="N190" s="5">
        <v>2524</v>
      </c>
      <c r="O190" s="5">
        <v>532</v>
      </c>
      <c r="P190" s="5"/>
      <c r="Q190" s="5"/>
      <c r="R190" s="3" t="s">
        <v>589</v>
      </c>
      <c r="S190" s="3" t="s">
        <v>571</v>
      </c>
      <c r="T190" s="3"/>
      <c r="U190" s="3"/>
      <c r="V190" s="3" t="s">
        <v>473</v>
      </c>
      <c r="W190" s="3" t="s">
        <v>482</v>
      </c>
      <c r="X190" s="3" t="s">
        <v>483</v>
      </c>
    </row>
    <row r="191" spans="1:24" ht="46.05" customHeight="1">
      <c r="A191" s="3" t="s">
        <v>1014</v>
      </c>
      <c r="B191" s="3" t="s">
        <v>468</v>
      </c>
      <c r="C191" s="3">
        <v>2023</v>
      </c>
      <c r="D191" s="3" t="s">
        <v>25</v>
      </c>
      <c r="E191" s="3" t="s">
        <v>1010</v>
      </c>
      <c r="F191" s="3" t="s">
        <v>1013</v>
      </c>
      <c r="G191" s="6">
        <v>10</v>
      </c>
      <c r="H191" s="3" t="s">
        <v>120</v>
      </c>
      <c r="I191" s="5">
        <v>19.7</v>
      </c>
      <c r="J191" s="5">
        <v>1.2</v>
      </c>
      <c r="K191" s="3"/>
      <c r="L191" s="3" t="s">
        <v>478</v>
      </c>
      <c r="M191" s="3" t="s">
        <v>479</v>
      </c>
      <c r="N191" s="5">
        <v>256813</v>
      </c>
      <c r="O191" s="5">
        <v>81735</v>
      </c>
      <c r="P191" s="5"/>
      <c r="Q191" s="5"/>
      <c r="R191" s="3" t="s">
        <v>1011</v>
      </c>
      <c r="S191" s="3" t="s">
        <v>571</v>
      </c>
      <c r="T191" s="3"/>
      <c r="U191" s="3"/>
      <c r="V191" s="3" t="s">
        <v>473</v>
      </c>
      <c r="W191" s="3" t="s">
        <v>482</v>
      </c>
      <c r="X191" s="3" t="s">
        <v>483</v>
      </c>
    </row>
    <row r="192" spans="1:24" ht="46.05" customHeight="1">
      <c r="A192" s="3" t="s">
        <v>1015</v>
      </c>
      <c r="B192" s="3" t="s">
        <v>468</v>
      </c>
      <c r="C192" s="3">
        <v>2023</v>
      </c>
      <c r="D192" s="3" t="s">
        <v>25</v>
      </c>
      <c r="E192" s="3" t="s">
        <v>1007</v>
      </c>
      <c r="F192" s="3" t="s">
        <v>1016</v>
      </c>
      <c r="G192" s="6">
        <v>10</v>
      </c>
      <c r="H192" s="3" t="s">
        <v>120</v>
      </c>
      <c r="I192" s="5">
        <v>19.7</v>
      </c>
      <c r="J192" s="5">
        <v>1.2</v>
      </c>
      <c r="K192" s="3"/>
      <c r="L192" s="3" t="s">
        <v>478</v>
      </c>
      <c r="M192" s="3" t="s">
        <v>479</v>
      </c>
      <c r="N192" s="5">
        <v>2425</v>
      </c>
      <c r="O192" s="5">
        <v>545</v>
      </c>
      <c r="P192" s="5"/>
      <c r="Q192" s="5"/>
      <c r="R192" s="3" t="s">
        <v>589</v>
      </c>
      <c r="S192" s="3" t="s">
        <v>571</v>
      </c>
      <c r="T192" s="3"/>
      <c r="U192" s="3"/>
      <c r="V192" s="3" t="s">
        <v>473</v>
      </c>
      <c r="W192" s="3" t="s">
        <v>482</v>
      </c>
      <c r="X192" s="3" t="s">
        <v>483</v>
      </c>
    </row>
    <row r="193" spans="1:24" ht="46.05" customHeight="1">
      <c r="A193" s="3" t="s">
        <v>1017</v>
      </c>
      <c r="B193" s="3" t="s">
        <v>468</v>
      </c>
      <c r="C193" s="3">
        <v>2023</v>
      </c>
      <c r="D193" s="3" t="s">
        <v>25</v>
      </c>
      <c r="E193" s="3" t="s">
        <v>1010</v>
      </c>
      <c r="F193" s="3" t="s">
        <v>1016</v>
      </c>
      <c r="G193" s="6">
        <v>10</v>
      </c>
      <c r="H193" s="3" t="s">
        <v>120</v>
      </c>
      <c r="I193" s="5">
        <v>19.7</v>
      </c>
      <c r="J193" s="5">
        <v>1.2</v>
      </c>
      <c r="K193" s="3"/>
      <c r="L193" s="3" t="s">
        <v>478</v>
      </c>
      <c r="M193" s="3" t="s">
        <v>479</v>
      </c>
      <c r="N193" s="5">
        <v>193004</v>
      </c>
      <c r="O193" s="5">
        <v>62671</v>
      </c>
      <c r="P193" s="5"/>
      <c r="Q193" s="5"/>
      <c r="R193" s="3" t="s">
        <v>1011</v>
      </c>
      <c r="S193" s="3" t="s">
        <v>571</v>
      </c>
      <c r="T193" s="3"/>
      <c r="U193" s="3"/>
      <c r="V193" s="3" t="s">
        <v>473</v>
      </c>
      <c r="W193" s="3" t="s">
        <v>482</v>
      </c>
      <c r="X193" s="3" t="s">
        <v>483</v>
      </c>
    </row>
    <row r="194" spans="1:24" ht="46.05" customHeight="1">
      <c r="A194" s="3" t="s">
        <v>1018</v>
      </c>
      <c r="B194" s="3" t="s">
        <v>468</v>
      </c>
      <c r="C194" s="3">
        <v>2023</v>
      </c>
      <c r="D194" s="3" t="s">
        <v>25</v>
      </c>
      <c r="E194" s="3" t="s">
        <v>1007</v>
      </c>
      <c r="F194" s="3" t="s">
        <v>1019</v>
      </c>
      <c r="G194" s="6">
        <v>10</v>
      </c>
      <c r="H194" s="3" t="s">
        <v>120</v>
      </c>
      <c r="I194" s="5">
        <v>19.7</v>
      </c>
      <c r="J194" s="5">
        <v>1.2</v>
      </c>
      <c r="K194" s="3"/>
      <c r="L194" s="3" t="s">
        <v>478</v>
      </c>
      <c r="M194" s="3" t="s">
        <v>479</v>
      </c>
      <c r="N194" s="5">
        <v>1645</v>
      </c>
      <c r="O194" s="5">
        <v>537</v>
      </c>
      <c r="P194" s="5"/>
      <c r="Q194" s="5"/>
      <c r="R194" s="3" t="s">
        <v>589</v>
      </c>
      <c r="S194" s="3" t="s">
        <v>571</v>
      </c>
      <c r="T194" s="3"/>
      <c r="U194" s="3"/>
      <c r="V194" s="3" t="s">
        <v>473</v>
      </c>
      <c r="W194" s="3" t="s">
        <v>482</v>
      </c>
      <c r="X194" s="3" t="s">
        <v>483</v>
      </c>
    </row>
    <row r="195" spans="1:24" ht="46.05" customHeight="1">
      <c r="A195" s="3" t="s">
        <v>1020</v>
      </c>
      <c r="B195" s="3" t="s">
        <v>468</v>
      </c>
      <c r="C195" s="3">
        <v>2023</v>
      </c>
      <c r="D195" s="3" t="s">
        <v>25</v>
      </c>
      <c r="E195" s="3" t="s">
        <v>1010</v>
      </c>
      <c r="F195" s="3" t="s">
        <v>1019</v>
      </c>
      <c r="G195" s="6">
        <v>10</v>
      </c>
      <c r="H195" s="3" t="s">
        <v>120</v>
      </c>
      <c r="I195" s="5">
        <v>19.7</v>
      </c>
      <c r="J195" s="5">
        <v>1.2</v>
      </c>
      <c r="K195" s="3"/>
      <c r="L195" s="3" t="s">
        <v>478</v>
      </c>
      <c r="M195" s="3" t="s">
        <v>479</v>
      </c>
      <c r="N195" s="5">
        <v>116675</v>
      </c>
      <c r="O195" s="5">
        <v>41577</v>
      </c>
      <c r="P195" s="5"/>
      <c r="Q195" s="5"/>
      <c r="R195" s="3" t="s">
        <v>1011</v>
      </c>
      <c r="S195" s="3" t="s">
        <v>571</v>
      </c>
      <c r="T195" s="3"/>
      <c r="U195" s="3"/>
      <c r="V195" s="3" t="s">
        <v>473</v>
      </c>
      <c r="W195" s="3" t="s">
        <v>482</v>
      </c>
      <c r="X195" s="3" t="s">
        <v>483</v>
      </c>
    </row>
    <row r="196" spans="1:24" ht="46.05" customHeight="1">
      <c r="A196" s="3" t="s">
        <v>1021</v>
      </c>
      <c r="B196" s="3" t="s">
        <v>468</v>
      </c>
      <c r="C196" s="3">
        <v>2023</v>
      </c>
      <c r="D196" s="3" t="s">
        <v>25</v>
      </c>
      <c r="E196" s="3" t="s">
        <v>1022</v>
      </c>
      <c r="F196" s="3" t="s">
        <v>1023</v>
      </c>
      <c r="G196" s="6">
        <v>10</v>
      </c>
      <c r="H196" s="3" t="s">
        <v>120</v>
      </c>
      <c r="I196" s="5"/>
      <c r="J196" s="5"/>
      <c r="K196" s="3"/>
      <c r="L196" s="3" t="s">
        <v>478</v>
      </c>
      <c r="M196" s="3" t="s">
        <v>479</v>
      </c>
      <c r="N196" s="5">
        <v>0.89</v>
      </c>
      <c r="O196" s="5"/>
      <c r="P196" s="5">
        <v>0.89</v>
      </c>
      <c r="Q196" s="5">
        <v>0.99</v>
      </c>
      <c r="R196" s="3" t="s">
        <v>1024</v>
      </c>
      <c r="S196" s="3" t="s">
        <v>1025</v>
      </c>
      <c r="T196" s="3"/>
      <c r="U196" s="3" t="s">
        <v>1026</v>
      </c>
      <c r="V196" s="3" t="s">
        <v>473</v>
      </c>
      <c r="W196" s="3" t="s">
        <v>482</v>
      </c>
      <c r="X196" s="3" t="s">
        <v>483</v>
      </c>
    </row>
    <row r="197" spans="1:24" ht="46.05" customHeight="1">
      <c r="A197" s="3" t="s">
        <v>1027</v>
      </c>
      <c r="B197" s="3" t="s">
        <v>484</v>
      </c>
      <c r="C197" s="3">
        <v>2024</v>
      </c>
      <c r="D197" s="3" t="s">
        <v>24</v>
      </c>
      <c r="E197" s="3" t="s">
        <v>579</v>
      </c>
      <c r="F197" s="3" t="s">
        <v>1028</v>
      </c>
      <c r="G197" s="6">
        <v>34</v>
      </c>
      <c r="H197" s="3" t="s">
        <v>491</v>
      </c>
      <c r="I197" s="5"/>
      <c r="J197" s="5"/>
      <c r="K197" s="3"/>
      <c r="L197" s="3" t="s">
        <v>492</v>
      </c>
      <c r="M197" s="3" t="s">
        <v>493</v>
      </c>
      <c r="N197" s="5">
        <v>51.57</v>
      </c>
      <c r="O197" s="5">
        <v>4.57</v>
      </c>
      <c r="P197" s="5"/>
      <c r="Q197" s="5"/>
      <c r="R197" s="3" t="s">
        <v>560</v>
      </c>
      <c r="S197" s="3" t="s">
        <v>571</v>
      </c>
      <c r="T197" s="3"/>
      <c r="U197" s="3"/>
      <c r="V197" s="3" t="s">
        <v>487</v>
      </c>
      <c r="W197" s="3" t="s">
        <v>496</v>
      </c>
      <c r="X197" s="3" t="s">
        <v>497</v>
      </c>
    </row>
    <row r="198" spans="1:24" ht="46.05" customHeight="1">
      <c r="A198" s="3" t="s">
        <v>1029</v>
      </c>
      <c r="B198" s="3" t="s">
        <v>484</v>
      </c>
      <c r="C198" s="3">
        <v>2024</v>
      </c>
      <c r="D198" s="3" t="s">
        <v>887</v>
      </c>
      <c r="E198" s="3" t="s">
        <v>1030</v>
      </c>
      <c r="F198" s="3" t="s">
        <v>1028</v>
      </c>
      <c r="G198" s="6">
        <v>34</v>
      </c>
      <c r="H198" s="3" t="s">
        <v>491</v>
      </c>
      <c r="I198" s="5"/>
      <c r="J198" s="5"/>
      <c r="K198" s="3"/>
      <c r="L198" s="3" t="s">
        <v>492</v>
      </c>
      <c r="M198" s="3" t="s">
        <v>493</v>
      </c>
      <c r="N198" s="5">
        <v>72.349999999999994</v>
      </c>
      <c r="O198" s="5">
        <v>14.34</v>
      </c>
      <c r="P198" s="5"/>
      <c r="Q198" s="5"/>
      <c r="R198" s="3" t="s">
        <v>1031</v>
      </c>
      <c r="S198" s="3" t="s">
        <v>571</v>
      </c>
      <c r="T198" s="3"/>
      <c r="U198" s="3"/>
      <c r="V198" s="3" t="s">
        <v>487</v>
      </c>
      <c r="W198" s="3" t="s">
        <v>496</v>
      </c>
      <c r="X198" s="3" t="s">
        <v>497</v>
      </c>
    </row>
    <row r="199" spans="1:24" ht="46.05" customHeight="1">
      <c r="A199" s="3" t="s">
        <v>1032</v>
      </c>
      <c r="B199" s="3" t="s">
        <v>484</v>
      </c>
      <c r="C199" s="3">
        <v>2024</v>
      </c>
      <c r="D199" s="3" t="s">
        <v>24</v>
      </c>
      <c r="E199" s="3" t="s">
        <v>579</v>
      </c>
      <c r="F199" s="3" t="s">
        <v>76</v>
      </c>
      <c r="G199" s="6">
        <v>13</v>
      </c>
      <c r="H199" s="3" t="s">
        <v>491</v>
      </c>
      <c r="I199" s="5"/>
      <c r="J199" s="5"/>
      <c r="K199" s="3"/>
      <c r="L199" s="3" t="s">
        <v>492</v>
      </c>
      <c r="M199" s="3" t="s">
        <v>493</v>
      </c>
      <c r="N199" s="5">
        <v>47.8</v>
      </c>
      <c r="O199" s="5">
        <v>4.01</v>
      </c>
      <c r="P199" s="5"/>
      <c r="Q199" s="5"/>
      <c r="R199" s="3" t="s">
        <v>560</v>
      </c>
      <c r="S199" s="3" t="s">
        <v>571</v>
      </c>
      <c r="T199" s="3" t="s">
        <v>1033</v>
      </c>
      <c r="U199" s="3"/>
      <c r="V199" s="3" t="s">
        <v>487</v>
      </c>
      <c r="W199" s="3" t="s">
        <v>496</v>
      </c>
      <c r="X199" s="3" t="s">
        <v>497</v>
      </c>
    </row>
    <row r="200" spans="1:24" ht="46.05" customHeight="1">
      <c r="A200" s="3" t="s">
        <v>1034</v>
      </c>
      <c r="B200" s="3" t="s">
        <v>484</v>
      </c>
      <c r="C200" s="3">
        <v>2024</v>
      </c>
      <c r="D200" s="3" t="s">
        <v>24</v>
      </c>
      <c r="E200" s="3" t="s">
        <v>652</v>
      </c>
      <c r="F200" s="3" t="s">
        <v>76</v>
      </c>
      <c r="G200" s="6">
        <v>13</v>
      </c>
      <c r="H200" s="3" t="s">
        <v>491</v>
      </c>
      <c r="I200" s="5"/>
      <c r="J200" s="5"/>
      <c r="K200" s="3"/>
      <c r="L200" s="3" t="s">
        <v>492</v>
      </c>
      <c r="M200" s="3" t="s">
        <v>493</v>
      </c>
      <c r="N200" s="5">
        <v>189.15</v>
      </c>
      <c r="O200" s="5">
        <v>4.71</v>
      </c>
      <c r="P200" s="5"/>
      <c r="Q200" s="5"/>
      <c r="R200" s="3" t="s">
        <v>550</v>
      </c>
      <c r="S200" s="3" t="s">
        <v>571</v>
      </c>
      <c r="T200" s="3" t="s">
        <v>1035</v>
      </c>
      <c r="U200" s="3"/>
      <c r="V200" s="3" t="s">
        <v>487</v>
      </c>
      <c r="W200" s="3" t="s">
        <v>496</v>
      </c>
      <c r="X200" s="3" t="s">
        <v>497</v>
      </c>
    </row>
    <row r="201" spans="1:24" ht="46.05" customHeight="1">
      <c r="A201" s="3" t="s">
        <v>1036</v>
      </c>
      <c r="B201" s="3" t="s">
        <v>484</v>
      </c>
      <c r="C201" s="3">
        <v>2024</v>
      </c>
      <c r="D201" s="3" t="s">
        <v>887</v>
      </c>
      <c r="E201" s="3" t="s">
        <v>1030</v>
      </c>
      <c r="F201" s="3" t="s">
        <v>76</v>
      </c>
      <c r="G201" s="6">
        <v>13</v>
      </c>
      <c r="H201" s="3" t="s">
        <v>491</v>
      </c>
      <c r="I201" s="5"/>
      <c r="J201" s="5"/>
      <c r="K201" s="3"/>
      <c r="L201" s="3" t="s">
        <v>492</v>
      </c>
      <c r="M201" s="3" t="s">
        <v>493</v>
      </c>
      <c r="N201" s="5">
        <v>63.54</v>
      </c>
      <c r="O201" s="5">
        <v>13.18</v>
      </c>
      <c r="P201" s="5"/>
      <c r="Q201" s="5"/>
      <c r="R201" s="3" t="s">
        <v>1031</v>
      </c>
      <c r="S201" s="3" t="s">
        <v>571</v>
      </c>
      <c r="T201" s="3" t="s">
        <v>1037</v>
      </c>
      <c r="U201" s="3"/>
      <c r="V201" s="3" t="s">
        <v>487</v>
      </c>
      <c r="W201" s="3" t="s">
        <v>496</v>
      </c>
      <c r="X201" s="3" t="s">
        <v>497</v>
      </c>
    </row>
    <row r="202" spans="1:24" ht="46.05" customHeight="1">
      <c r="A202" s="3" t="s">
        <v>1038</v>
      </c>
      <c r="B202" s="3" t="s">
        <v>484</v>
      </c>
      <c r="C202" s="3">
        <v>2024</v>
      </c>
      <c r="D202" s="3" t="s">
        <v>24</v>
      </c>
      <c r="E202" s="3" t="s">
        <v>579</v>
      </c>
      <c r="F202" s="3" t="s">
        <v>1039</v>
      </c>
      <c r="G202" s="6">
        <v>21</v>
      </c>
      <c r="H202" s="3" t="s">
        <v>491</v>
      </c>
      <c r="I202" s="5"/>
      <c r="J202" s="5"/>
      <c r="K202" s="3"/>
      <c r="L202" s="3" t="s">
        <v>492</v>
      </c>
      <c r="M202" s="3" t="s">
        <v>493</v>
      </c>
      <c r="N202" s="5">
        <v>53.9</v>
      </c>
      <c r="O202" s="5">
        <v>3.15</v>
      </c>
      <c r="P202" s="5"/>
      <c r="Q202" s="5"/>
      <c r="R202" s="3" t="s">
        <v>560</v>
      </c>
      <c r="S202" s="3" t="s">
        <v>571</v>
      </c>
      <c r="T202" s="3" t="s">
        <v>1033</v>
      </c>
      <c r="U202" s="3"/>
      <c r="V202" s="3" t="s">
        <v>487</v>
      </c>
      <c r="W202" s="3" t="s">
        <v>496</v>
      </c>
      <c r="X202" s="3" t="s">
        <v>497</v>
      </c>
    </row>
    <row r="203" spans="1:24" ht="46.05" customHeight="1">
      <c r="A203" s="3" t="s">
        <v>1040</v>
      </c>
      <c r="B203" s="3" t="s">
        <v>484</v>
      </c>
      <c r="C203" s="3">
        <v>2024</v>
      </c>
      <c r="D203" s="3" t="s">
        <v>24</v>
      </c>
      <c r="E203" s="3" t="s">
        <v>652</v>
      </c>
      <c r="F203" s="3" t="s">
        <v>1039</v>
      </c>
      <c r="G203" s="6">
        <v>21</v>
      </c>
      <c r="H203" s="3" t="s">
        <v>491</v>
      </c>
      <c r="I203" s="5"/>
      <c r="J203" s="5"/>
      <c r="K203" s="3"/>
      <c r="L203" s="3" t="s">
        <v>492</v>
      </c>
      <c r="M203" s="3" t="s">
        <v>493</v>
      </c>
      <c r="N203" s="5">
        <v>186.67</v>
      </c>
      <c r="O203" s="5">
        <v>6.25</v>
      </c>
      <c r="P203" s="5"/>
      <c r="Q203" s="5"/>
      <c r="R203" s="3" t="s">
        <v>550</v>
      </c>
      <c r="S203" s="3" t="s">
        <v>571</v>
      </c>
      <c r="T203" s="3" t="s">
        <v>1035</v>
      </c>
      <c r="U203" s="3"/>
      <c r="V203" s="3" t="s">
        <v>487</v>
      </c>
      <c r="W203" s="3" t="s">
        <v>496</v>
      </c>
      <c r="X203" s="3" t="s">
        <v>497</v>
      </c>
    </row>
    <row r="204" spans="1:24" ht="46.05" customHeight="1">
      <c r="A204" s="3" t="s">
        <v>1041</v>
      </c>
      <c r="B204" s="3" t="s">
        <v>484</v>
      </c>
      <c r="C204" s="3">
        <v>2024</v>
      </c>
      <c r="D204" s="3" t="s">
        <v>887</v>
      </c>
      <c r="E204" s="3" t="s">
        <v>1030</v>
      </c>
      <c r="F204" s="3" t="s">
        <v>1039</v>
      </c>
      <c r="G204" s="6">
        <v>21</v>
      </c>
      <c r="H204" s="3" t="s">
        <v>491</v>
      </c>
      <c r="I204" s="5"/>
      <c r="J204" s="5"/>
      <c r="K204" s="3"/>
      <c r="L204" s="3" t="s">
        <v>492</v>
      </c>
      <c r="M204" s="3" t="s">
        <v>493</v>
      </c>
      <c r="N204" s="5">
        <v>77.81</v>
      </c>
      <c r="O204" s="5">
        <v>12.39</v>
      </c>
      <c r="P204" s="5"/>
      <c r="Q204" s="5"/>
      <c r="R204" s="3" t="s">
        <v>1031</v>
      </c>
      <c r="S204" s="3" t="s">
        <v>571</v>
      </c>
      <c r="T204" s="3" t="s">
        <v>1037</v>
      </c>
      <c r="U204" s="3"/>
      <c r="V204" s="3" t="s">
        <v>487</v>
      </c>
      <c r="W204" s="3" t="s">
        <v>496</v>
      </c>
      <c r="X204" s="3" t="s">
        <v>497</v>
      </c>
    </row>
    <row r="205" spans="1:24" ht="46.05" customHeight="1">
      <c r="A205" s="3" t="s">
        <v>1042</v>
      </c>
      <c r="B205" s="3" t="s">
        <v>484</v>
      </c>
      <c r="C205" s="3">
        <v>2024</v>
      </c>
      <c r="D205" s="3" t="s">
        <v>24</v>
      </c>
      <c r="E205" s="3" t="s">
        <v>1043</v>
      </c>
      <c r="F205" s="3" t="s">
        <v>570</v>
      </c>
      <c r="G205" s="6">
        <v>34</v>
      </c>
      <c r="H205" s="3" t="s">
        <v>491</v>
      </c>
      <c r="I205" s="5"/>
      <c r="J205" s="5"/>
      <c r="K205" s="3"/>
      <c r="L205" s="3" t="s">
        <v>492</v>
      </c>
      <c r="M205" s="3" t="s">
        <v>493</v>
      </c>
      <c r="N205" s="5">
        <v>171.62</v>
      </c>
      <c r="O205" s="5">
        <v>11.31</v>
      </c>
      <c r="P205" s="5"/>
      <c r="Q205" s="5"/>
      <c r="R205" s="3" t="s">
        <v>550</v>
      </c>
      <c r="S205" s="3" t="s">
        <v>571</v>
      </c>
      <c r="T205" s="3"/>
      <c r="U205" s="3"/>
      <c r="V205" s="3" t="s">
        <v>487</v>
      </c>
      <c r="W205" s="3" t="s">
        <v>496</v>
      </c>
      <c r="X205" s="3" t="s">
        <v>497</v>
      </c>
    </row>
    <row r="206" spans="1:24" ht="46.05" customHeight="1">
      <c r="A206" s="3" t="s">
        <v>1044</v>
      </c>
      <c r="B206" s="3" t="s">
        <v>484</v>
      </c>
      <c r="C206" s="3">
        <v>2024</v>
      </c>
      <c r="D206" s="3" t="s">
        <v>24</v>
      </c>
      <c r="E206" s="3" t="s">
        <v>1043</v>
      </c>
      <c r="F206" s="3" t="s">
        <v>76</v>
      </c>
      <c r="G206" s="6">
        <v>13</v>
      </c>
      <c r="H206" s="3" t="s">
        <v>491</v>
      </c>
      <c r="I206" s="5"/>
      <c r="J206" s="5"/>
      <c r="K206" s="3"/>
      <c r="L206" s="3" t="s">
        <v>492</v>
      </c>
      <c r="M206" s="3" t="s">
        <v>493</v>
      </c>
      <c r="N206" s="5">
        <v>175.62</v>
      </c>
      <c r="O206" s="5">
        <v>11.22</v>
      </c>
      <c r="P206" s="5"/>
      <c r="Q206" s="5"/>
      <c r="R206" s="3" t="s">
        <v>550</v>
      </c>
      <c r="S206" s="3" t="s">
        <v>571</v>
      </c>
      <c r="T206" s="3" t="s">
        <v>1045</v>
      </c>
      <c r="U206" s="3"/>
      <c r="V206" s="3" t="s">
        <v>487</v>
      </c>
      <c r="W206" s="3" t="s">
        <v>496</v>
      </c>
      <c r="X206" s="3" t="s">
        <v>497</v>
      </c>
    </row>
    <row r="207" spans="1:24" ht="46.05" customHeight="1">
      <c r="A207" s="3" t="s">
        <v>1046</v>
      </c>
      <c r="B207" s="3" t="s">
        <v>484</v>
      </c>
      <c r="C207" s="3">
        <v>2024</v>
      </c>
      <c r="D207" s="3" t="s">
        <v>24</v>
      </c>
      <c r="E207" s="3" t="s">
        <v>1043</v>
      </c>
      <c r="F207" s="3" t="s">
        <v>1039</v>
      </c>
      <c r="G207" s="6">
        <v>21</v>
      </c>
      <c r="H207" s="3" t="s">
        <v>491</v>
      </c>
      <c r="I207" s="5"/>
      <c r="J207" s="5"/>
      <c r="K207" s="3"/>
      <c r="L207" s="3" t="s">
        <v>492</v>
      </c>
      <c r="M207" s="3" t="s">
        <v>493</v>
      </c>
      <c r="N207" s="5">
        <v>169.14</v>
      </c>
      <c r="O207" s="5">
        <v>10.9</v>
      </c>
      <c r="P207" s="5"/>
      <c r="Q207" s="5"/>
      <c r="R207" s="3" t="s">
        <v>550</v>
      </c>
      <c r="S207" s="3" t="s">
        <v>571</v>
      </c>
      <c r="T207" s="3" t="s">
        <v>1045</v>
      </c>
      <c r="U207" s="3"/>
      <c r="V207" s="3" t="s">
        <v>487</v>
      </c>
      <c r="W207" s="3" t="s">
        <v>496</v>
      </c>
      <c r="X207" s="3" t="s">
        <v>497</v>
      </c>
    </row>
    <row r="208" spans="1:24" ht="46.05" customHeight="1">
      <c r="A208" s="3" t="s">
        <v>1047</v>
      </c>
      <c r="B208" s="3" t="s">
        <v>498</v>
      </c>
      <c r="C208" s="3">
        <v>2024</v>
      </c>
      <c r="D208" s="3" t="s">
        <v>24</v>
      </c>
      <c r="E208" s="3" t="s">
        <v>1048</v>
      </c>
      <c r="F208" s="3" t="s">
        <v>570</v>
      </c>
      <c r="G208" s="6">
        <v>12</v>
      </c>
      <c r="H208" s="3" t="s">
        <v>120</v>
      </c>
      <c r="I208" s="5">
        <v>21.9</v>
      </c>
      <c r="J208" s="5">
        <v>4.0999999999999996</v>
      </c>
      <c r="K208" s="3"/>
      <c r="L208" s="3" t="s">
        <v>508</v>
      </c>
      <c r="M208" s="3" t="s">
        <v>509</v>
      </c>
      <c r="N208" s="5">
        <v>9</v>
      </c>
      <c r="O208" s="5">
        <v>2.6</v>
      </c>
      <c r="P208" s="5"/>
      <c r="Q208" s="5"/>
      <c r="R208" s="3" t="s">
        <v>620</v>
      </c>
      <c r="S208" s="3" t="s">
        <v>571</v>
      </c>
      <c r="T208" s="3"/>
      <c r="U208" s="3" t="s">
        <v>1049</v>
      </c>
      <c r="V208" s="3" t="s">
        <v>503</v>
      </c>
      <c r="W208" s="3" t="s">
        <v>512</v>
      </c>
      <c r="X208" s="3" t="s">
        <v>513</v>
      </c>
    </row>
    <row r="209" spans="1:24" ht="46.05" customHeight="1">
      <c r="A209" s="3" t="s">
        <v>1050</v>
      </c>
      <c r="B209" s="3" t="s">
        <v>498</v>
      </c>
      <c r="C209" s="3">
        <v>2024</v>
      </c>
      <c r="D209" s="3" t="s">
        <v>24</v>
      </c>
      <c r="E209" s="3" t="s">
        <v>618</v>
      </c>
      <c r="F209" s="3" t="s">
        <v>570</v>
      </c>
      <c r="G209" s="6">
        <v>12</v>
      </c>
      <c r="H209" s="3" t="s">
        <v>120</v>
      </c>
      <c r="I209" s="5">
        <v>21.9</v>
      </c>
      <c r="J209" s="5">
        <v>4.0999999999999996</v>
      </c>
      <c r="K209" s="3"/>
      <c r="L209" s="3" t="s">
        <v>508</v>
      </c>
      <c r="M209" s="3" t="s">
        <v>509</v>
      </c>
      <c r="N209" s="5">
        <v>21.9</v>
      </c>
      <c r="O209" s="5">
        <v>4.0999999999999996</v>
      </c>
      <c r="P209" s="5"/>
      <c r="Q209" s="5"/>
      <c r="R209" s="3" t="s">
        <v>620</v>
      </c>
      <c r="S209" s="3" t="s">
        <v>571</v>
      </c>
      <c r="T209" s="3"/>
      <c r="U209" s="3" t="s">
        <v>1051</v>
      </c>
      <c r="V209" s="3" t="s">
        <v>503</v>
      </c>
      <c r="W209" s="3" t="s">
        <v>512</v>
      </c>
      <c r="X209" s="3" t="s">
        <v>513</v>
      </c>
    </row>
    <row r="210" spans="1:24" ht="46.05" customHeight="1">
      <c r="A210" s="3" t="s">
        <v>1052</v>
      </c>
      <c r="B210" s="3" t="s">
        <v>498</v>
      </c>
      <c r="C210" s="3">
        <v>2024</v>
      </c>
      <c r="D210" s="3" t="s">
        <v>24</v>
      </c>
      <c r="E210" s="3" t="s">
        <v>628</v>
      </c>
      <c r="F210" s="3" t="s">
        <v>570</v>
      </c>
      <c r="G210" s="6">
        <v>12</v>
      </c>
      <c r="H210" s="3" t="s">
        <v>120</v>
      </c>
      <c r="I210" s="5"/>
      <c r="J210" s="5"/>
      <c r="K210" s="3"/>
      <c r="L210" s="3" t="s">
        <v>508</v>
      </c>
      <c r="M210" s="3" t="s">
        <v>509</v>
      </c>
      <c r="N210" s="5">
        <v>84.2</v>
      </c>
      <c r="O210" s="5">
        <v>14.8</v>
      </c>
      <c r="P210" s="5"/>
      <c r="Q210" s="5"/>
      <c r="R210" s="3" t="s">
        <v>576</v>
      </c>
      <c r="S210" s="3" t="s">
        <v>571</v>
      </c>
      <c r="T210" s="3"/>
      <c r="U210" s="3"/>
      <c r="V210" s="3" t="s">
        <v>503</v>
      </c>
      <c r="W210" s="3" t="s">
        <v>512</v>
      </c>
      <c r="X210" s="3" t="s">
        <v>513</v>
      </c>
    </row>
    <row r="211" spans="1:24" ht="46.05" customHeight="1">
      <c r="A211" s="3" t="s">
        <v>1053</v>
      </c>
      <c r="B211" s="3" t="s">
        <v>498</v>
      </c>
      <c r="C211" s="3">
        <v>2024</v>
      </c>
      <c r="D211" s="3" t="s">
        <v>24</v>
      </c>
      <c r="E211" s="3" t="s">
        <v>1054</v>
      </c>
      <c r="F211" s="3" t="s">
        <v>1055</v>
      </c>
      <c r="G211" s="6">
        <v>12</v>
      </c>
      <c r="H211" s="3" t="s">
        <v>120</v>
      </c>
      <c r="I211" s="5"/>
      <c r="J211" s="5"/>
      <c r="K211" s="3"/>
      <c r="L211" s="3" t="s">
        <v>508</v>
      </c>
      <c r="M211" s="3" t="s">
        <v>509</v>
      </c>
      <c r="N211" s="5"/>
      <c r="O211" s="5"/>
      <c r="P211" s="5"/>
      <c r="Q211" s="5"/>
      <c r="R211" s="3" t="s">
        <v>770</v>
      </c>
      <c r="S211" s="3" t="s">
        <v>828</v>
      </c>
      <c r="T211" s="3"/>
      <c r="U211" s="3" t="s">
        <v>1056</v>
      </c>
      <c r="V211" s="3" t="s">
        <v>503</v>
      </c>
      <c r="W211" s="3" t="s">
        <v>512</v>
      </c>
      <c r="X211" s="3" t="s">
        <v>513</v>
      </c>
    </row>
    <row r="212" spans="1:24" ht="46.05" customHeight="1">
      <c r="A212" s="3" t="s">
        <v>1057</v>
      </c>
      <c r="B212" s="3" t="s">
        <v>514</v>
      </c>
      <c r="C212" s="3">
        <v>2026</v>
      </c>
      <c r="D212" s="3" t="s">
        <v>1058</v>
      </c>
      <c r="E212" s="3" t="s">
        <v>1059</v>
      </c>
      <c r="F212" s="3" t="s">
        <v>1060</v>
      </c>
      <c r="G212" s="6">
        <v>8</v>
      </c>
      <c r="H212" s="3" t="s">
        <v>120</v>
      </c>
      <c r="I212" s="5"/>
      <c r="J212" s="5"/>
      <c r="K212" s="3"/>
      <c r="L212" s="3" t="s">
        <v>310</v>
      </c>
      <c r="M212" s="3" t="s">
        <v>155</v>
      </c>
      <c r="N212" s="5">
        <v>16.7</v>
      </c>
      <c r="O212" s="5"/>
      <c r="P212" s="5"/>
      <c r="Q212" s="5"/>
      <c r="R212" s="3" t="s">
        <v>1061</v>
      </c>
      <c r="S212" s="3" t="s">
        <v>1062</v>
      </c>
      <c r="T212" s="3" t="s">
        <v>1063</v>
      </c>
      <c r="U212" s="3" t="s">
        <v>1064</v>
      </c>
      <c r="V212" s="3" t="s">
        <v>519</v>
      </c>
      <c r="W212" s="3" t="s">
        <v>525</v>
      </c>
      <c r="X212" s="3" t="s">
        <v>1065</v>
      </c>
    </row>
    <row r="213" spans="1:24" ht="46.05" customHeight="1">
      <c r="A213" s="3" t="s">
        <v>1066</v>
      </c>
      <c r="B213" s="3" t="s">
        <v>514</v>
      </c>
      <c r="C213" s="3">
        <v>2026</v>
      </c>
      <c r="D213" s="3" t="s">
        <v>1058</v>
      </c>
      <c r="E213" s="3" t="s">
        <v>1067</v>
      </c>
      <c r="F213" s="3" t="s">
        <v>1060</v>
      </c>
      <c r="G213" s="6">
        <v>8</v>
      </c>
      <c r="H213" s="3" t="s">
        <v>120</v>
      </c>
      <c r="I213" s="5"/>
      <c r="J213" s="5"/>
      <c r="K213" s="3"/>
      <c r="L213" s="3" t="s">
        <v>310</v>
      </c>
      <c r="M213" s="3" t="s">
        <v>155</v>
      </c>
      <c r="N213" s="5">
        <v>20.6</v>
      </c>
      <c r="O213" s="5"/>
      <c r="P213" s="5"/>
      <c r="Q213" s="5"/>
      <c r="R213" s="3" t="s">
        <v>1061</v>
      </c>
      <c r="S213" s="3" t="s">
        <v>1062</v>
      </c>
      <c r="T213" s="3" t="s">
        <v>1068</v>
      </c>
      <c r="U213" s="3" t="s">
        <v>1064</v>
      </c>
      <c r="V213" s="3" t="s">
        <v>519</v>
      </c>
      <c r="W213" s="3" t="s">
        <v>525</v>
      </c>
      <c r="X213" s="3" t="s">
        <v>1065</v>
      </c>
    </row>
    <row r="214" spans="1:24" ht="46.05" customHeight="1">
      <c r="A214" s="3" t="s">
        <v>1069</v>
      </c>
      <c r="B214" s="3" t="s">
        <v>514</v>
      </c>
      <c r="C214" s="3">
        <v>2026</v>
      </c>
      <c r="D214" s="3" t="s">
        <v>1058</v>
      </c>
      <c r="E214" s="3" t="s">
        <v>1070</v>
      </c>
      <c r="F214" s="3" t="s">
        <v>1060</v>
      </c>
      <c r="G214" s="6">
        <v>8</v>
      </c>
      <c r="H214" s="3" t="s">
        <v>120</v>
      </c>
      <c r="I214" s="5"/>
      <c r="J214" s="5"/>
      <c r="K214" s="3"/>
      <c r="L214" s="3" t="s">
        <v>310</v>
      </c>
      <c r="M214" s="3" t="s">
        <v>155</v>
      </c>
      <c r="N214" s="5">
        <v>20.399999999999999</v>
      </c>
      <c r="O214" s="5"/>
      <c r="P214" s="5"/>
      <c r="Q214" s="5"/>
      <c r="R214" s="3" t="s">
        <v>1061</v>
      </c>
      <c r="S214" s="3" t="s">
        <v>1062</v>
      </c>
      <c r="T214" s="3" t="s">
        <v>1071</v>
      </c>
      <c r="U214" s="3" t="s">
        <v>1064</v>
      </c>
      <c r="V214" s="3" t="s">
        <v>519</v>
      </c>
      <c r="W214" s="3" t="s">
        <v>525</v>
      </c>
      <c r="X214" s="3" t="s">
        <v>1065</v>
      </c>
    </row>
    <row r="215" spans="1:24" ht="46.05" customHeight="1">
      <c r="A215" s="3" t="s">
        <v>1072</v>
      </c>
      <c r="B215" s="3" t="s">
        <v>514</v>
      </c>
      <c r="C215" s="3">
        <v>2026</v>
      </c>
      <c r="D215" s="3" t="s">
        <v>1058</v>
      </c>
      <c r="E215" s="3" t="s">
        <v>1073</v>
      </c>
      <c r="F215" s="3" t="s">
        <v>1060</v>
      </c>
      <c r="G215" s="6">
        <v>8</v>
      </c>
      <c r="H215" s="3" t="s">
        <v>120</v>
      </c>
      <c r="I215" s="5"/>
      <c r="J215" s="5"/>
      <c r="K215" s="3"/>
      <c r="L215" s="3" t="s">
        <v>310</v>
      </c>
      <c r="M215" s="3" t="s">
        <v>155</v>
      </c>
      <c r="N215" s="5">
        <v>7.3</v>
      </c>
      <c r="O215" s="5"/>
      <c r="P215" s="5"/>
      <c r="Q215" s="5"/>
      <c r="R215" s="3" t="s">
        <v>1061</v>
      </c>
      <c r="S215" s="3" t="s">
        <v>1062</v>
      </c>
      <c r="T215" s="3" t="s">
        <v>1074</v>
      </c>
      <c r="U215" s="3" t="s">
        <v>1064</v>
      </c>
      <c r="V215" s="3" t="s">
        <v>519</v>
      </c>
      <c r="W215" s="3" t="s">
        <v>525</v>
      </c>
      <c r="X215" s="3" t="s">
        <v>1065</v>
      </c>
    </row>
    <row r="216" spans="1:24" ht="46.05" customHeight="1">
      <c r="A216" s="3" t="s">
        <v>1075</v>
      </c>
      <c r="B216" s="3" t="s">
        <v>514</v>
      </c>
      <c r="C216" s="3">
        <v>2026</v>
      </c>
      <c r="D216" s="3" t="s">
        <v>1058</v>
      </c>
      <c r="E216" s="3" t="s">
        <v>1076</v>
      </c>
      <c r="F216" s="3" t="s">
        <v>1060</v>
      </c>
      <c r="G216" s="6">
        <v>8</v>
      </c>
      <c r="H216" s="3" t="s">
        <v>120</v>
      </c>
      <c r="I216" s="5"/>
      <c r="J216" s="5"/>
      <c r="K216" s="3"/>
      <c r="L216" s="3" t="s">
        <v>310</v>
      </c>
      <c r="M216" s="3" t="s">
        <v>155</v>
      </c>
      <c r="N216" s="5">
        <v>16.8</v>
      </c>
      <c r="O216" s="5"/>
      <c r="P216" s="5"/>
      <c r="Q216" s="5"/>
      <c r="R216" s="3" t="s">
        <v>1061</v>
      </c>
      <c r="S216" s="3" t="s">
        <v>1062</v>
      </c>
      <c r="T216" s="3" t="s">
        <v>1077</v>
      </c>
      <c r="U216" s="3" t="s">
        <v>1064</v>
      </c>
      <c r="V216" s="3" t="s">
        <v>519</v>
      </c>
      <c r="W216" s="3" t="s">
        <v>525</v>
      </c>
      <c r="X216" s="3" t="s">
        <v>1065</v>
      </c>
    </row>
    <row r="217" spans="1:24" ht="46.05" customHeight="1">
      <c r="A217" s="3" t="s">
        <v>1078</v>
      </c>
      <c r="B217" s="3" t="s">
        <v>514</v>
      </c>
      <c r="C217" s="3">
        <v>2026</v>
      </c>
      <c r="D217" s="3" t="s">
        <v>1058</v>
      </c>
      <c r="E217" s="3" t="s">
        <v>1079</v>
      </c>
      <c r="F217" s="3" t="s">
        <v>1060</v>
      </c>
      <c r="G217" s="6">
        <v>8</v>
      </c>
      <c r="H217" s="3" t="s">
        <v>120</v>
      </c>
      <c r="I217" s="5"/>
      <c r="J217" s="5"/>
      <c r="K217" s="3"/>
      <c r="L217" s="3" t="s">
        <v>310</v>
      </c>
      <c r="M217" s="3" t="s">
        <v>155</v>
      </c>
      <c r="N217" s="5">
        <v>14.9</v>
      </c>
      <c r="O217" s="5"/>
      <c r="P217" s="5"/>
      <c r="Q217" s="5"/>
      <c r="R217" s="3" t="s">
        <v>1061</v>
      </c>
      <c r="S217" s="3" t="s">
        <v>1062</v>
      </c>
      <c r="T217" s="3" t="s">
        <v>1080</v>
      </c>
      <c r="U217" s="3" t="s">
        <v>1064</v>
      </c>
      <c r="V217" s="3" t="s">
        <v>519</v>
      </c>
      <c r="W217" s="3" t="s">
        <v>525</v>
      </c>
      <c r="X217" s="3" t="s">
        <v>1065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" width="28" customWidth="1"/>
    <col min="2" max="2" width="62" customWidth="1"/>
    <col min="3" max="3" width="88" customWidth="1"/>
  </cols>
  <sheetData>
    <row r="1" spans="1:3" ht="31.95" customHeight="1">
      <c r="A1" s="7" t="s">
        <v>1081</v>
      </c>
      <c r="B1" s="7" t="s">
        <v>1082</v>
      </c>
      <c r="C1" s="7" t="s">
        <v>1083</v>
      </c>
    </row>
    <row r="2" spans="1:3" ht="48" customHeight="1">
      <c r="A2" s="2" t="s">
        <v>1084</v>
      </c>
      <c r="B2" s="2" t="s">
        <v>1085</v>
      </c>
      <c r="C2" s="2" t="s">
        <v>1086</v>
      </c>
    </row>
    <row r="3" spans="1:3" ht="48" customHeight="1">
      <c r="A3" s="2" t="s">
        <v>21</v>
      </c>
      <c r="B3" s="2" t="s">
        <v>1087</v>
      </c>
      <c r="C3" s="2" t="s">
        <v>1088</v>
      </c>
    </row>
    <row r="4" spans="1:3" ht="48" customHeight="1">
      <c r="A4" s="2" t="s">
        <v>1089</v>
      </c>
      <c r="B4" s="2" t="s">
        <v>1090</v>
      </c>
      <c r="C4" s="2" t="s">
        <v>1091</v>
      </c>
    </row>
    <row r="5" spans="1:3" ht="48" customHeight="1">
      <c r="A5" s="2" t="s">
        <v>618</v>
      </c>
      <c r="B5" s="2" t="s">
        <v>1092</v>
      </c>
      <c r="C5" s="2" t="s">
        <v>1093</v>
      </c>
    </row>
    <row r="6" spans="1:3" ht="48" customHeight="1">
      <c r="A6" s="2" t="s">
        <v>1094</v>
      </c>
      <c r="B6" s="2" t="s">
        <v>1095</v>
      </c>
      <c r="C6" s="2" t="s">
        <v>1096</v>
      </c>
    </row>
    <row r="7" spans="1:3" ht="48" customHeight="1">
      <c r="A7" s="2" t="s">
        <v>1097</v>
      </c>
      <c r="B7" s="2" t="s">
        <v>1098</v>
      </c>
      <c r="C7" s="2" t="s">
        <v>1099</v>
      </c>
    </row>
    <row r="8" spans="1:3" ht="48" customHeight="1">
      <c r="A8" s="2" t="s">
        <v>1100</v>
      </c>
      <c r="B8" s="2" t="s">
        <v>1101</v>
      </c>
      <c r="C8" s="2" t="s">
        <v>1102</v>
      </c>
    </row>
    <row r="9" spans="1:3" ht="48" customHeight="1">
      <c r="A9" s="2" t="s">
        <v>1103</v>
      </c>
      <c r="B9" s="2" t="s">
        <v>1104</v>
      </c>
      <c r="C9" s="2" t="s">
        <v>1105</v>
      </c>
    </row>
    <row r="10" spans="1:3" ht="48" customHeight="1">
      <c r="A10" s="2" t="s">
        <v>1106</v>
      </c>
      <c r="B10" s="2" t="s">
        <v>1107</v>
      </c>
      <c r="C10" s="2" t="s">
        <v>1108</v>
      </c>
    </row>
    <row r="11" spans="1:3" ht="48" customHeight="1">
      <c r="A11" s="2" t="s">
        <v>1109</v>
      </c>
      <c r="B11" s="2" t="s">
        <v>1110</v>
      </c>
      <c r="C11" s="2" t="s">
        <v>1111</v>
      </c>
    </row>
    <row r="12" spans="1:3" ht="48" customHeight="1">
      <c r="A12" s="2" t="s">
        <v>1112</v>
      </c>
      <c r="B12" s="2" t="s">
        <v>1113</v>
      </c>
      <c r="C12" s="2" t="s">
        <v>1114</v>
      </c>
    </row>
    <row r="13" spans="1:3" ht="48" customHeight="1">
      <c r="A13" s="2" t="s">
        <v>1115</v>
      </c>
      <c r="B13" s="2" t="s">
        <v>1116</v>
      </c>
      <c r="C13" s="2" t="s">
        <v>1117</v>
      </c>
    </row>
    <row r="14" spans="1:3" ht="48" customHeight="1">
      <c r="A14" s="2" t="s">
        <v>1118</v>
      </c>
      <c r="B14" s="2" t="s">
        <v>1119</v>
      </c>
      <c r="C14" s="2" t="s">
        <v>1120</v>
      </c>
    </row>
    <row r="15" spans="1:3" ht="48" customHeight="1">
      <c r="A15" s="2" t="s">
        <v>1121</v>
      </c>
      <c r="B15" s="2" t="s">
        <v>1122</v>
      </c>
      <c r="C15" s="2" t="s">
        <v>1123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4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" width="36" customWidth="1"/>
    <col min="2" max="2" width="80" customWidth="1"/>
    <col min="3" max="3" width="95" customWidth="1"/>
  </cols>
  <sheetData>
    <row r="1" spans="1:3" ht="31.95" customHeight="1">
      <c r="A1" s="7" t="s">
        <v>1124</v>
      </c>
      <c r="B1" s="7" t="s">
        <v>1125</v>
      </c>
      <c r="C1" s="7" t="s">
        <v>1126</v>
      </c>
    </row>
    <row r="2" spans="1:3" ht="52.05" customHeight="1">
      <c r="A2" s="2" t="s">
        <v>1127</v>
      </c>
      <c r="B2" s="2" t="s">
        <v>1128</v>
      </c>
      <c r="C2" s="2" t="s">
        <v>1129</v>
      </c>
    </row>
    <row r="3" spans="1:3" ht="52.05" customHeight="1">
      <c r="A3" s="2" t="s">
        <v>1130</v>
      </c>
      <c r="B3" s="2" t="s">
        <v>1131</v>
      </c>
      <c r="C3" s="2" t="s">
        <v>1132</v>
      </c>
    </row>
    <row r="4" spans="1:3" ht="52.05" customHeight="1">
      <c r="A4" s="2" t="s">
        <v>1133</v>
      </c>
      <c r="B4" s="2" t="s">
        <v>1134</v>
      </c>
      <c r="C4" s="2" t="s">
        <v>1135</v>
      </c>
    </row>
    <row r="5" spans="1:3" ht="52.05" customHeight="1">
      <c r="A5" s="2" t="s">
        <v>1136</v>
      </c>
      <c r="B5" s="2" t="s">
        <v>1137</v>
      </c>
      <c r="C5" s="2" t="s">
        <v>1138</v>
      </c>
    </row>
    <row r="6" spans="1:3" ht="52.05" customHeight="1">
      <c r="A6" s="2" t="s">
        <v>1139</v>
      </c>
      <c r="B6" s="2" t="s">
        <v>1140</v>
      </c>
      <c r="C6" s="2" t="s">
        <v>1141</v>
      </c>
    </row>
    <row r="7" spans="1:3" ht="52.05" customHeight="1">
      <c r="A7" s="2" t="s">
        <v>1142</v>
      </c>
      <c r="B7" s="2" t="s">
        <v>1143</v>
      </c>
      <c r="C7" s="2" t="s">
        <v>1144</v>
      </c>
    </row>
    <row r="8" spans="1:3" ht="52.05" customHeight="1">
      <c r="A8" s="2" t="s">
        <v>1145</v>
      </c>
      <c r="B8" s="2" t="s">
        <v>1146</v>
      </c>
      <c r="C8" s="2" t="s">
        <v>1147</v>
      </c>
    </row>
    <row r="9" spans="1:3" ht="52.05" customHeight="1">
      <c r="A9" s="2" t="s">
        <v>1148</v>
      </c>
      <c r="B9" s="2" t="s">
        <v>1149</v>
      </c>
      <c r="C9" s="2" t="s">
        <v>1150</v>
      </c>
    </row>
    <row r="10" spans="1:3" ht="52.05" customHeight="1">
      <c r="A10" s="2" t="s">
        <v>1151</v>
      </c>
      <c r="B10" s="2" t="s">
        <v>1152</v>
      </c>
      <c r="C10" s="2" t="s">
        <v>1153</v>
      </c>
    </row>
    <row r="11" spans="1:3" ht="52.05" customHeight="1">
      <c r="A11" s="2" t="s">
        <v>1154</v>
      </c>
      <c r="B11" s="2" t="s">
        <v>1155</v>
      </c>
      <c r="C11" s="2" t="s">
        <v>1156</v>
      </c>
    </row>
    <row r="12" spans="1:3" ht="52.05" customHeight="1">
      <c r="A12" s="2" t="s">
        <v>1157</v>
      </c>
      <c r="B12" s="2" t="s">
        <v>1158</v>
      </c>
      <c r="C12" s="2" t="s">
        <v>1159</v>
      </c>
    </row>
    <row r="13" spans="1:3" ht="52.05" customHeight="1">
      <c r="A13" s="2" t="s">
        <v>1160</v>
      </c>
      <c r="B13" s="2" t="s">
        <v>1161</v>
      </c>
      <c r="C13" s="2" t="s">
        <v>1162</v>
      </c>
    </row>
    <row r="14" spans="1:3" ht="52.05" customHeight="1">
      <c r="A14" s="2" t="s">
        <v>1163</v>
      </c>
      <c r="B14" s="2" t="s">
        <v>1164</v>
      </c>
      <c r="C14" s="2" t="s">
        <v>1165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Старт</vt:lpstr>
      <vt:lpstr>Исследования</vt:lpstr>
      <vt:lpstr>Результаты</vt:lpstr>
      <vt:lpstr>Классификаторы</vt:lpstr>
      <vt:lpstr>Словарь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</dc:creator>
  <cp:lastModifiedBy>Константин Шаромов</cp:lastModifiedBy>
  <dcterms:modified xsi:type="dcterms:W3CDTF">2026-10-19T05:04:52Z</dcterms:modified>
</cp:coreProperties>
</file>